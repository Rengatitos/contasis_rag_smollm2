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C:\Users\USUARIO\Documents\ARLETH EMPRESAS 2026\2. NEGOCIACIONES ESTRADA S.A.C\REGISTROS COMPRAS Y VENTAS\"/>
    </mc:Choice>
  </mc:AlternateContent>
  <xr:revisionPtr revIDLastSave="0" documentId="13_ncr:1_{B5FE7F84-E1A9-4BD3-BCAE-C2A3B1A82314}" xr6:coauthVersionLast="47" xr6:coauthVersionMax="47" xr10:uidLastSave="{00000000-0000-0000-0000-000000000000}"/>
  <bookViews>
    <workbookView xWindow="-120" yWindow="-120" windowWidth="29040" windowHeight="15720" xr2:uid="{00000000-000D-0000-FFFF-FFFF00000000}"/>
  </bookViews>
  <sheets>
    <sheet name="FORMATO_VENTAS" sheetId="1" r:id="rId1"/>
    <sheet name="FORMATO_ COMPRAS " sheetId="11" r:id="rId2"/>
    <sheet name="Hoja3" sheetId="14" r:id="rId3"/>
  </sheets>
  <definedNames>
    <definedName name="_xlnm._FilterDatabase" localSheetId="1" hidden="1">'FORMATO_ COMPRAS '!$H$1:$H$14</definedName>
    <definedName name="_xlnm._FilterDatabase" localSheetId="0" hidden="1">FORMATO_VENTAS!$D$1:$D$498</definedName>
    <definedName name="_xlnm.Print_Area" localSheetId="0">FORMATO_VENTAS!$A$1:$P$454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7" i="11" l="1"/>
  <c r="K452" i="1"/>
  <c r="B377" i="1"/>
  <c r="K377" i="1"/>
  <c r="B378" i="1"/>
  <c r="K378" i="1"/>
  <c r="B379" i="1"/>
  <c r="K379" i="1"/>
  <c r="B380" i="1"/>
  <c r="K380" i="1"/>
  <c r="B381" i="1"/>
  <c r="K381" i="1"/>
  <c r="B382" i="1"/>
  <c r="K382" i="1"/>
  <c r="B383" i="1"/>
  <c r="K383" i="1"/>
  <c r="B384" i="1"/>
  <c r="K384" i="1"/>
  <c r="B385" i="1"/>
  <c r="K385" i="1"/>
  <c r="B386" i="1"/>
  <c r="K386" i="1"/>
  <c r="B387" i="1"/>
  <c r="K387" i="1"/>
  <c r="B388" i="1"/>
  <c r="K388" i="1"/>
  <c r="B389" i="1"/>
  <c r="K389" i="1"/>
  <c r="B390" i="1"/>
  <c r="K390" i="1"/>
  <c r="B391" i="1"/>
  <c r="K391" i="1"/>
  <c r="B392" i="1"/>
  <c r="K392" i="1"/>
  <c r="B393" i="1"/>
  <c r="K393" i="1"/>
  <c r="B394" i="1"/>
  <c r="K394" i="1"/>
  <c r="B395" i="1"/>
  <c r="K395" i="1"/>
  <c r="B396" i="1"/>
  <c r="K396" i="1"/>
  <c r="B397" i="1"/>
  <c r="K397" i="1"/>
  <c r="B398" i="1"/>
  <c r="K398" i="1"/>
  <c r="B399" i="1"/>
  <c r="K399" i="1"/>
  <c r="B400" i="1"/>
  <c r="K400" i="1"/>
  <c r="B401" i="1"/>
  <c r="K401" i="1"/>
  <c r="B402" i="1"/>
  <c r="K402" i="1"/>
  <c r="B403" i="1"/>
  <c r="K403" i="1"/>
  <c r="B404" i="1"/>
  <c r="K404" i="1"/>
  <c r="B405" i="1"/>
  <c r="K405" i="1"/>
  <c r="B406" i="1"/>
  <c r="K406" i="1"/>
  <c r="B407" i="1"/>
  <c r="K407" i="1"/>
  <c r="B408" i="1"/>
  <c r="K408" i="1"/>
  <c r="B409" i="1"/>
  <c r="K409" i="1"/>
  <c r="B410" i="1"/>
  <c r="K410" i="1"/>
  <c r="B411" i="1"/>
  <c r="K411" i="1"/>
  <c r="B412" i="1"/>
  <c r="K412" i="1"/>
  <c r="B413" i="1"/>
  <c r="K413" i="1"/>
  <c r="B414" i="1"/>
  <c r="K414" i="1"/>
  <c r="B415" i="1"/>
  <c r="K415" i="1"/>
  <c r="B416" i="1"/>
  <c r="K416" i="1"/>
  <c r="B417" i="1"/>
  <c r="K417" i="1"/>
  <c r="B418" i="1"/>
  <c r="K418" i="1"/>
  <c r="B419" i="1"/>
  <c r="K419" i="1"/>
  <c r="B420" i="1"/>
  <c r="K420" i="1"/>
  <c r="B421" i="1"/>
  <c r="K421" i="1"/>
  <c r="B422" i="1"/>
  <c r="K422" i="1"/>
  <c r="B423" i="1"/>
  <c r="K423" i="1"/>
  <c r="B424" i="1"/>
  <c r="K424" i="1"/>
  <c r="B425" i="1"/>
  <c r="K425" i="1"/>
  <c r="B426" i="1"/>
  <c r="K426" i="1"/>
  <c r="B427" i="1"/>
  <c r="K427" i="1"/>
  <c r="B428" i="1"/>
  <c r="K428" i="1"/>
  <c r="B429" i="1"/>
  <c r="K429" i="1"/>
  <c r="B430" i="1"/>
  <c r="K430" i="1"/>
  <c r="B431" i="1"/>
  <c r="K431" i="1"/>
  <c r="B432" i="1"/>
  <c r="K432" i="1"/>
  <c r="B433" i="1"/>
  <c r="K433" i="1"/>
  <c r="B434" i="1"/>
  <c r="K434" i="1"/>
  <c r="B435" i="1"/>
  <c r="K435" i="1"/>
  <c r="B436" i="1"/>
  <c r="K436" i="1"/>
  <c r="B437" i="1"/>
  <c r="K437" i="1"/>
  <c r="B438" i="1"/>
  <c r="K438" i="1"/>
  <c r="B439" i="1"/>
  <c r="K439" i="1"/>
  <c r="B440" i="1"/>
  <c r="K440" i="1"/>
  <c r="B441" i="1"/>
  <c r="K441" i="1"/>
  <c r="B442" i="1"/>
  <c r="K442" i="1"/>
  <c r="B443" i="1"/>
  <c r="K443" i="1"/>
  <c r="B444" i="1"/>
  <c r="K444" i="1"/>
  <c r="B445" i="1"/>
  <c r="K445" i="1"/>
  <c r="B446" i="1"/>
  <c r="K446" i="1"/>
  <c r="B447" i="1"/>
  <c r="K447" i="1"/>
  <c r="B448" i="1"/>
  <c r="K448" i="1"/>
  <c r="B449" i="1"/>
  <c r="K449" i="1"/>
  <c r="B450" i="1"/>
  <c r="K450" i="1"/>
  <c r="B451" i="1"/>
  <c r="K451" i="1"/>
  <c r="B5" i="1"/>
  <c r="K5" i="1"/>
  <c r="B6" i="1"/>
  <c r="K6" i="1"/>
  <c r="B7" i="1"/>
  <c r="K7" i="1"/>
  <c r="B8" i="1"/>
  <c r="K8" i="1"/>
  <c r="B9" i="1"/>
  <c r="K9" i="1"/>
  <c r="B10" i="1"/>
  <c r="K10" i="1"/>
  <c r="B11" i="1"/>
  <c r="K11" i="1"/>
  <c r="B12" i="1"/>
  <c r="K12" i="1"/>
  <c r="B13" i="1"/>
  <c r="K13" i="1"/>
  <c r="B14" i="1"/>
  <c r="K14" i="1"/>
  <c r="B15" i="1"/>
  <c r="K15" i="1"/>
  <c r="B16" i="1"/>
  <c r="K16" i="1"/>
  <c r="B17" i="1"/>
  <c r="K17" i="1"/>
  <c r="B18" i="1"/>
  <c r="K18" i="1"/>
  <c r="B19" i="1"/>
  <c r="K19" i="1"/>
  <c r="B20" i="1"/>
  <c r="K20" i="1"/>
  <c r="B21" i="1"/>
  <c r="K21" i="1"/>
  <c r="B22" i="1"/>
  <c r="K22" i="1"/>
  <c r="B23" i="1"/>
  <c r="K23" i="1"/>
  <c r="B24" i="1"/>
  <c r="K24" i="1"/>
  <c r="B25" i="1"/>
  <c r="K25" i="1"/>
  <c r="B26" i="1"/>
  <c r="K26" i="1"/>
  <c r="B27" i="1"/>
  <c r="K27" i="1"/>
  <c r="B28" i="1"/>
  <c r="K28" i="1"/>
  <c r="B29" i="1"/>
  <c r="K29" i="1"/>
  <c r="B30" i="1"/>
  <c r="K30" i="1"/>
  <c r="B31" i="1"/>
  <c r="K31" i="1"/>
  <c r="B32" i="1"/>
  <c r="K32" i="1"/>
  <c r="B33" i="1"/>
  <c r="K33" i="1"/>
  <c r="B34" i="1"/>
  <c r="K34" i="1"/>
  <c r="B35" i="1"/>
  <c r="K35" i="1"/>
  <c r="B36" i="1"/>
  <c r="K36" i="1"/>
  <c r="B37" i="1"/>
  <c r="K37" i="1"/>
  <c r="B38" i="1"/>
  <c r="K38" i="1"/>
  <c r="B39" i="1"/>
  <c r="K39" i="1"/>
  <c r="B40" i="1"/>
  <c r="K40" i="1"/>
  <c r="B41" i="1"/>
  <c r="K41" i="1"/>
  <c r="B42" i="1"/>
  <c r="K42" i="1"/>
  <c r="B43" i="1"/>
  <c r="K43" i="1"/>
  <c r="B44" i="1"/>
  <c r="K44" i="1"/>
  <c r="B45" i="1"/>
  <c r="K45" i="1"/>
  <c r="B46" i="1"/>
  <c r="K46" i="1"/>
  <c r="B47" i="1"/>
  <c r="K47" i="1"/>
  <c r="B48" i="1"/>
  <c r="K48" i="1"/>
  <c r="B49" i="1"/>
  <c r="K49" i="1"/>
  <c r="B50" i="1"/>
  <c r="K50" i="1"/>
  <c r="B51" i="1"/>
  <c r="K51" i="1"/>
  <c r="B52" i="1"/>
  <c r="K52" i="1"/>
  <c r="B53" i="1"/>
  <c r="K53" i="1"/>
  <c r="B54" i="1"/>
  <c r="K54" i="1"/>
  <c r="B55" i="1"/>
  <c r="K55" i="1"/>
  <c r="B56" i="1"/>
  <c r="K56" i="1"/>
  <c r="B57" i="1"/>
  <c r="K57" i="1"/>
  <c r="B58" i="1"/>
  <c r="K58" i="1"/>
  <c r="B59" i="1"/>
  <c r="K59" i="1"/>
  <c r="B60" i="1"/>
  <c r="K60" i="1"/>
  <c r="B61" i="1"/>
  <c r="K61" i="1"/>
  <c r="B62" i="1"/>
  <c r="K62" i="1"/>
  <c r="B63" i="1"/>
  <c r="K63" i="1"/>
  <c r="B64" i="1"/>
  <c r="K64" i="1"/>
  <c r="B65" i="1"/>
  <c r="K65" i="1"/>
  <c r="B66" i="1"/>
  <c r="K66" i="1"/>
  <c r="B67" i="1"/>
  <c r="K67" i="1"/>
  <c r="B68" i="1"/>
  <c r="K68" i="1"/>
  <c r="B69" i="1"/>
  <c r="K69" i="1"/>
  <c r="B70" i="1"/>
  <c r="K70" i="1"/>
  <c r="B71" i="1"/>
  <c r="K71" i="1"/>
  <c r="B72" i="1"/>
  <c r="K72" i="1"/>
  <c r="B73" i="1"/>
  <c r="K73" i="1"/>
  <c r="B74" i="1"/>
  <c r="K74" i="1"/>
  <c r="B75" i="1"/>
  <c r="K75" i="1"/>
  <c r="B76" i="1"/>
  <c r="K76" i="1"/>
  <c r="B77" i="1"/>
  <c r="K77" i="1"/>
  <c r="B78" i="1"/>
  <c r="K78" i="1"/>
  <c r="B79" i="1"/>
  <c r="K79" i="1"/>
  <c r="B80" i="1"/>
  <c r="K80" i="1"/>
  <c r="B81" i="1"/>
  <c r="K81" i="1"/>
  <c r="B82" i="1"/>
  <c r="K82" i="1"/>
  <c r="B83" i="1"/>
  <c r="K83" i="1"/>
  <c r="B84" i="1"/>
  <c r="K84" i="1"/>
  <c r="B85" i="1"/>
  <c r="K85" i="1"/>
  <c r="B86" i="1"/>
  <c r="K86" i="1"/>
  <c r="B87" i="1"/>
  <c r="K87" i="1"/>
  <c r="B88" i="1"/>
  <c r="K88" i="1"/>
  <c r="B89" i="1"/>
  <c r="K89" i="1"/>
  <c r="B90" i="1"/>
  <c r="K90" i="1"/>
  <c r="B91" i="1"/>
  <c r="K91" i="1"/>
  <c r="B92" i="1"/>
  <c r="K92" i="1"/>
  <c r="B93" i="1"/>
  <c r="K93" i="1"/>
  <c r="B94" i="1"/>
  <c r="K94" i="1"/>
  <c r="B95" i="1"/>
  <c r="K95" i="1"/>
  <c r="B96" i="1"/>
  <c r="K96" i="1"/>
  <c r="B97" i="1"/>
  <c r="K97" i="1"/>
  <c r="B98" i="1"/>
  <c r="K98" i="1"/>
  <c r="B99" i="1"/>
  <c r="K99" i="1"/>
  <c r="B100" i="1"/>
  <c r="K100" i="1"/>
  <c r="B101" i="1"/>
  <c r="K101" i="1"/>
  <c r="B102" i="1"/>
  <c r="K102" i="1"/>
  <c r="B103" i="1"/>
  <c r="K103" i="1"/>
  <c r="B104" i="1"/>
  <c r="K104" i="1"/>
  <c r="B105" i="1"/>
  <c r="K105" i="1"/>
  <c r="B106" i="1"/>
  <c r="K106" i="1"/>
  <c r="B107" i="1"/>
  <c r="K107" i="1"/>
  <c r="B108" i="1"/>
  <c r="K108" i="1"/>
  <c r="B109" i="1"/>
  <c r="K109" i="1"/>
  <c r="B110" i="1"/>
  <c r="K110" i="1"/>
  <c r="B111" i="1"/>
  <c r="K111" i="1"/>
  <c r="B112" i="1"/>
  <c r="K112" i="1"/>
  <c r="B113" i="1"/>
  <c r="K113" i="1"/>
  <c r="B114" i="1"/>
  <c r="K114" i="1"/>
  <c r="B115" i="1"/>
  <c r="K115" i="1"/>
  <c r="B116" i="1"/>
  <c r="K116" i="1"/>
  <c r="B117" i="1"/>
  <c r="K117" i="1"/>
  <c r="B118" i="1"/>
  <c r="K118" i="1"/>
  <c r="B119" i="1"/>
  <c r="K119" i="1"/>
  <c r="B120" i="1"/>
  <c r="K120" i="1"/>
  <c r="B121" i="1"/>
  <c r="K121" i="1"/>
  <c r="B122" i="1"/>
  <c r="K122" i="1"/>
  <c r="B123" i="1"/>
  <c r="K123" i="1"/>
  <c r="B124" i="1"/>
  <c r="K124" i="1"/>
  <c r="B125" i="1"/>
  <c r="K125" i="1"/>
  <c r="B126" i="1"/>
  <c r="K126" i="1"/>
  <c r="B127" i="1"/>
  <c r="K127" i="1"/>
  <c r="B128" i="1"/>
  <c r="K128" i="1"/>
  <c r="B129" i="1"/>
  <c r="K129" i="1"/>
  <c r="B130" i="1"/>
  <c r="K130" i="1"/>
  <c r="B131" i="1"/>
  <c r="K131" i="1"/>
  <c r="B132" i="1"/>
  <c r="K132" i="1"/>
  <c r="B133" i="1"/>
  <c r="K133" i="1"/>
  <c r="B134" i="1"/>
  <c r="K134" i="1"/>
  <c r="B135" i="1"/>
  <c r="K135" i="1"/>
  <c r="B136" i="1"/>
  <c r="K136" i="1"/>
  <c r="B137" i="1"/>
  <c r="K137" i="1"/>
  <c r="B138" i="1"/>
  <c r="K138" i="1"/>
  <c r="B139" i="1"/>
  <c r="K139" i="1"/>
  <c r="B140" i="1"/>
  <c r="K140" i="1"/>
  <c r="B141" i="1"/>
  <c r="K141" i="1"/>
  <c r="B142" i="1"/>
  <c r="K142" i="1"/>
  <c r="B143" i="1"/>
  <c r="K143" i="1"/>
  <c r="B144" i="1"/>
  <c r="K144" i="1"/>
  <c r="B145" i="1"/>
  <c r="K145" i="1"/>
  <c r="B146" i="1"/>
  <c r="K146" i="1"/>
  <c r="B147" i="1"/>
  <c r="K147" i="1"/>
  <c r="B148" i="1"/>
  <c r="K148" i="1"/>
  <c r="B149" i="1"/>
  <c r="K149" i="1"/>
  <c r="B150" i="1"/>
  <c r="K150" i="1"/>
  <c r="B151" i="1"/>
  <c r="K151" i="1"/>
  <c r="B152" i="1"/>
  <c r="K152" i="1"/>
  <c r="B153" i="1"/>
  <c r="K153" i="1"/>
  <c r="B154" i="1"/>
  <c r="K154" i="1"/>
  <c r="B155" i="1"/>
  <c r="K155" i="1"/>
  <c r="B156" i="1"/>
  <c r="K156" i="1"/>
  <c r="B157" i="1"/>
  <c r="K157" i="1"/>
  <c r="B158" i="1"/>
  <c r="K158" i="1"/>
  <c r="B159" i="1"/>
  <c r="K159" i="1"/>
  <c r="B160" i="1"/>
  <c r="K160" i="1"/>
  <c r="B161" i="1"/>
  <c r="K161" i="1"/>
  <c r="B162" i="1"/>
  <c r="K162" i="1"/>
  <c r="B163" i="1"/>
  <c r="K163" i="1"/>
  <c r="B164" i="1"/>
  <c r="K164" i="1"/>
  <c r="B165" i="1"/>
  <c r="K165" i="1"/>
  <c r="B166" i="1"/>
  <c r="K166" i="1"/>
  <c r="B167" i="1"/>
  <c r="K167" i="1"/>
  <c r="B168" i="1"/>
  <c r="K168" i="1"/>
  <c r="B169" i="1"/>
  <c r="K169" i="1"/>
  <c r="B170" i="1"/>
  <c r="K170" i="1"/>
  <c r="B171" i="1"/>
  <c r="K171" i="1"/>
  <c r="B172" i="1"/>
  <c r="K172" i="1"/>
  <c r="B173" i="1"/>
  <c r="K173" i="1"/>
  <c r="B174" i="1"/>
  <c r="K174" i="1"/>
  <c r="B175" i="1"/>
  <c r="K175" i="1"/>
  <c r="B176" i="1"/>
  <c r="K176" i="1"/>
  <c r="B177" i="1"/>
  <c r="K177" i="1"/>
  <c r="B178" i="1"/>
  <c r="K178" i="1"/>
  <c r="B179" i="1"/>
  <c r="K179" i="1"/>
  <c r="B180" i="1"/>
  <c r="K180" i="1"/>
  <c r="B181" i="1"/>
  <c r="K181" i="1"/>
  <c r="B182" i="1"/>
  <c r="K182" i="1"/>
  <c r="B183" i="1"/>
  <c r="K183" i="1"/>
  <c r="B184" i="1"/>
  <c r="K184" i="1"/>
  <c r="B185" i="1"/>
  <c r="K185" i="1"/>
  <c r="B186" i="1"/>
  <c r="K186" i="1"/>
  <c r="B187" i="1"/>
  <c r="K187" i="1"/>
  <c r="B188" i="1"/>
  <c r="K188" i="1"/>
  <c r="B189" i="1"/>
  <c r="K189" i="1"/>
  <c r="B190" i="1"/>
  <c r="K190" i="1"/>
  <c r="B191" i="1"/>
  <c r="K191" i="1"/>
  <c r="B192" i="1"/>
  <c r="K192" i="1"/>
  <c r="B193" i="1"/>
  <c r="K193" i="1"/>
  <c r="B194" i="1"/>
  <c r="K194" i="1"/>
  <c r="B195" i="1"/>
  <c r="K195" i="1"/>
  <c r="B196" i="1"/>
  <c r="K196" i="1"/>
  <c r="B197" i="1"/>
  <c r="K197" i="1"/>
  <c r="B198" i="1"/>
  <c r="K198" i="1"/>
  <c r="B199" i="1"/>
  <c r="K199" i="1"/>
  <c r="B200" i="1"/>
  <c r="K200" i="1"/>
  <c r="B201" i="1"/>
  <c r="K201" i="1"/>
  <c r="B202" i="1"/>
  <c r="K202" i="1"/>
  <c r="B203" i="1"/>
  <c r="K203" i="1"/>
  <c r="B204" i="1"/>
  <c r="K204" i="1"/>
  <c r="B205" i="1"/>
  <c r="K205" i="1"/>
  <c r="B206" i="1"/>
  <c r="K206" i="1"/>
  <c r="B207" i="1"/>
  <c r="K207" i="1"/>
  <c r="B208" i="1"/>
  <c r="K208" i="1"/>
  <c r="B209" i="1"/>
  <c r="K209" i="1"/>
  <c r="B210" i="1"/>
  <c r="K210" i="1"/>
  <c r="B211" i="1"/>
  <c r="K211" i="1"/>
  <c r="B212" i="1"/>
  <c r="K212" i="1"/>
  <c r="B213" i="1"/>
  <c r="K213" i="1"/>
  <c r="B214" i="1"/>
  <c r="K214" i="1"/>
  <c r="B215" i="1"/>
  <c r="K215" i="1"/>
  <c r="B216" i="1"/>
  <c r="K216" i="1"/>
  <c r="B217" i="1"/>
  <c r="K217" i="1"/>
  <c r="B218" i="1"/>
  <c r="K218" i="1"/>
  <c r="B219" i="1"/>
  <c r="K219" i="1"/>
  <c r="B220" i="1"/>
  <c r="K220" i="1"/>
  <c r="B221" i="1"/>
  <c r="K221" i="1"/>
  <c r="B222" i="1"/>
  <c r="K222" i="1"/>
  <c r="B223" i="1"/>
  <c r="K223" i="1"/>
  <c r="B224" i="1"/>
  <c r="K224" i="1"/>
  <c r="B225" i="1"/>
  <c r="K225" i="1"/>
  <c r="B226" i="1"/>
  <c r="K226" i="1"/>
  <c r="B227" i="1"/>
  <c r="K227" i="1"/>
  <c r="B228" i="1"/>
  <c r="K228" i="1"/>
  <c r="B229" i="1"/>
  <c r="K229" i="1"/>
  <c r="B230" i="1"/>
  <c r="K230" i="1"/>
  <c r="B231" i="1"/>
  <c r="K231" i="1"/>
  <c r="B232" i="1"/>
  <c r="K232" i="1"/>
  <c r="B233" i="1"/>
  <c r="K233" i="1"/>
  <c r="B234" i="1"/>
  <c r="K234" i="1"/>
  <c r="B235" i="1"/>
  <c r="K235" i="1"/>
  <c r="B236" i="1"/>
  <c r="K236" i="1"/>
  <c r="B237" i="1"/>
  <c r="K237" i="1"/>
  <c r="B238" i="1"/>
  <c r="K238" i="1"/>
  <c r="B239" i="1"/>
  <c r="K239" i="1"/>
  <c r="B240" i="1"/>
  <c r="K240" i="1"/>
  <c r="B241" i="1"/>
  <c r="K241" i="1"/>
  <c r="B242" i="1"/>
  <c r="K242" i="1"/>
  <c r="B243" i="1"/>
  <c r="K243" i="1"/>
  <c r="B244" i="1"/>
  <c r="K244" i="1"/>
  <c r="B245" i="1"/>
  <c r="K245" i="1"/>
  <c r="B246" i="1"/>
  <c r="K246" i="1"/>
  <c r="B247" i="1"/>
  <c r="K247" i="1"/>
  <c r="B248" i="1"/>
  <c r="K248" i="1"/>
  <c r="B249" i="1"/>
  <c r="K249" i="1"/>
  <c r="B250" i="1"/>
  <c r="K250" i="1"/>
  <c r="B251" i="1"/>
  <c r="K251" i="1"/>
  <c r="B252" i="1"/>
  <c r="K252" i="1"/>
  <c r="B253" i="1"/>
  <c r="K253" i="1"/>
  <c r="B254" i="1"/>
  <c r="K254" i="1"/>
  <c r="B255" i="1"/>
  <c r="K255" i="1"/>
  <c r="B256" i="1"/>
  <c r="K256" i="1"/>
  <c r="B257" i="1"/>
  <c r="K257" i="1"/>
  <c r="B258" i="1"/>
  <c r="K258" i="1"/>
  <c r="B259" i="1"/>
  <c r="K259" i="1"/>
  <c r="B260" i="1"/>
  <c r="K260" i="1"/>
  <c r="B261" i="1"/>
  <c r="K261" i="1"/>
  <c r="B262" i="1"/>
  <c r="K262" i="1"/>
  <c r="B263" i="1"/>
  <c r="K263" i="1"/>
  <c r="B264" i="1"/>
  <c r="K264" i="1"/>
  <c r="B265" i="1"/>
  <c r="K265" i="1"/>
  <c r="B266" i="1"/>
  <c r="K266" i="1"/>
  <c r="B267" i="1"/>
  <c r="K267" i="1"/>
  <c r="B268" i="1"/>
  <c r="K268" i="1"/>
  <c r="B269" i="1"/>
  <c r="K269" i="1"/>
  <c r="B270" i="1"/>
  <c r="K270" i="1"/>
  <c r="B271" i="1"/>
  <c r="K271" i="1"/>
  <c r="B272" i="1"/>
  <c r="K272" i="1"/>
  <c r="B273" i="1"/>
  <c r="K273" i="1"/>
  <c r="B274" i="1"/>
  <c r="K274" i="1"/>
  <c r="B275" i="1"/>
  <c r="K275" i="1"/>
  <c r="B276" i="1"/>
  <c r="K276" i="1"/>
  <c r="B277" i="1"/>
  <c r="K277" i="1"/>
  <c r="B278" i="1"/>
  <c r="K278" i="1"/>
  <c r="B279" i="1"/>
  <c r="K279" i="1"/>
  <c r="B280" i="1"/>
  <c r="K280" i="1"/>
  <c r="B281" i="1"/>
  <c r="K281" i="1"/>
  <c r="B282" i="1"/>
  <c r="K282" i="1"/>
  <c r="B283" i="1"/>
  <c r="K283" i="1"/>
  <c r="B284" i="1"/>
  <c r="K284" i="1"/>
  <c r="B285" i="1"/>
  <c r="K285" i="1"/>
  <c r="B286" i="1"/>
  <c r="K286" i="1"/>
  <c r="B287" i="1"/>
  <c r="K287" i="1"/>
  <c r="B288" i="1"/>
  <c r="K288" i="1"/>
  <c r="B289" i="1"/>
  <c r="K289" i="1"/>
  <c r="B290" i="1"/>
  <c r="K290" i="1"/>
  <c r="B291" i="1"/>
  <c r="K291" i="1"/>
  <c r="B292" i="1"/>
  <c r="K292" i="1"/>
  <c r="B293" i="1"/>
  <c r="K293" i="1"/>
  <c r="B294" i="1"/>
  <c r="K294" i="1"/>
  <c r="B295" i="1"/>
  <c r="K295" i="1"/>
  <c r="B296" i="1"/>
  <c r="K296" i="1"/>
  <c r="B297" i="1"/>
  <c r="K297" i="1"/>
  <c r="B298" i="1"/>
  <c r="K298" i="1"/>
  <c r="B299" i="1"/>
  <c r="K299" i="1"/>
  <c r="B300" i="1"/>
  <c r="K300" i="1"/>
  <c r="B301" i="1"/>
  <c r="K301" i="1"/>
  <c r="B302" i="1"/>
  <c r="K302" i="1"/>
  <c r="B303" i="1"/>
  <c r="K303" i="1"/>
  <c r="B304" i="1"/>
  <c r="K304" i="1"/>
  <c r="B305" i="1"/>
  <c r="K305" i="1"/>
  <c r="B306" i="1"/>
  <c r="K306" i="1"/>
  <c r="B307" i="1"/>
  <c r="K307" i="1"/>
  <c r="B308" i="1"/>
  <c r="K308" i="1"/>
  <c r="B309" i="1"/>
  <c r="K309" i="1"/>
  <c r="B310" i="1"/>
  <c r="K310" i="1"/>
  <c r="B311" i="1"/>
  <c r="K311" i="1"/>
  <c r="B312" i="1"/>
  <c r="K312" i="1"/>
  <c r="B313" i="1"/>
  <c r="K313" i="1"/>
  <c r="B314" i="1"/>
  <c r="K314" i="1"/>
  <c r="B315" i="1"/>
  <c r="K315" i="1"/>
  <c r="B316" i="1"/>
  <c r="K316" i="1"/>
  <c r="B317" i="1"/>
  <c r="K317" i="1"/>
  <c r="B318" i="1"/>
  <c r="K318" i="1"/>
  <c r="B319" i="1"/>
  <c r="K319" i="1"/>
  <c r="B320" i="1"/>
  <c r="K320" i="1"/>
  <c r="B321" i="1"/>
  <c r="K321" i="1"/>
  <c r="B322" i="1"/>
  <c r="K322" i="1"/>
  <c r="B323" i="1"/>
  <c r="K323" i="1"/>
  <c r="B324" i="1"/>
  <c r="K324" i="1"/>
  <c r="B325" i="1"/>
  <c r="K325" i="1"/>
  <c r="B326" i="1"/>
  <c r="K326" i="1"/>
  <c r="B327" i="1"/>
  <c r="K327" i="1"/>
  <c r="B328" i="1"/>
  <c r="K328" i="1"/>
  <c r="B329" i="1"/>
  <c r="K329" i="1"/>
  <c r="B330" i="1"/>
  <c r="K330" i="1"/>
  <c r="B331" i="1"/>
  <c r="K331" i="1"/>
  <c r="B332" i="1"/>
  <c r="K332" i="1"/>
  <c r="B333" i="1"/>
  <c r="K333" i="1"/>
  <c r="B334" i="1"/>
  <c r="K334" i="1"/>
  <c r="B335" i="1"/>
  <c r="K335" i="1"/>
  <c r="B336" i="1"/>
  <c r="K336" i="1"/>
  <c r="B337" i="1"/>
  <c r="K337" i="1"/>
  <c r="B338" i="1"/>
  <c r="K338" i="1"/>
  <c r="B339" i="1"/>
  <c r="K339" i="1"/>
  <c r="B340" i="1"/>
  <c r="K340" i="1"/>
  <c r="B341" i="1"/>
  <c r="K341" i="1"/>
  <c r="B342" i="1"/>
  <c r="K342" i="1"/>
  <c r="B343" i="1"/>
  <c r="K343" i="1"/>
  <c r="B344" i="1"/>
  <c r="K344" i="1"/>
  <c r="B345" i="1"/>
  <c r="K345" i="1"/>
  <c r="B346" i="1"/>
  <c r="K346" i="1"/>
  <c r="B347" i="1"/>
  <c r="K347" i="1"/>
  <c r="B348" i="1"/>
  <c r="K348" i="1"/>
  <c r="B349" i="1"/>
  <c r="K349" i="1"/>
  <c r="B350" i="1"/>
  <c r="K350" i="1"/>
  <c r="B351" i="1"/>
  <c r="K351" i="1"/>
  <c r="B352" i="1"/>
  <c r="K352" i="1"/>
  <c r="B353" i="1"/>
  <c r="K353" i="1"/>
  <c r="B354" i="1"/>
  <c r="K354" i="1"/>
  <c r="B355" i="1"/>
  <c r="K355" i="1"/>
  <c r="B356" i="1"/>
  <c r="K356" i="1"/>
  <c r="B357" i="1"/>
  <c r="K357" i="1"/>
  <c r="B358" i="1"/>
  <c r="K358" i="1"/>
  <c r="B359" i="1"/>
  <c r="K359" i="1"/>
  <c r="B360" i="1"/>
  <c r="K360" i="1"/>
  <c r="B361" i="1"/>
  <c r="K361" i="1"/>
  <c r="B362" i="1"/>
  <c r="K362" i="1"/>
  <c r="B363" i="1"/>
  <c r="K363" i="1"/>
  <c r="B364" i="1"/>
  <c r="K364" i="1"/>
  <c r="B365" i="1"/>
  <c r="K365" i="1"/>
  <c r="B366" i="1"/>
  <c r="K366" i="1"/>
  <c r="B367" i="1"/>
  <c r="K367" i="1"/>
  <c r="B368" i="1"/>
  <c r="K368" i="1"/>
  <c r="B369" i="1"/>
  <c r="K369" i="1"/>
  <c r="B370" i="1"/>
  <c r="K370" i="1"/>
  <c r="B371" i="1"/>
  <c r="K371" i="1"/>
  <c r="B372" i="1"/>
  <c r="K372" i="1"/>
  <c r="B373" i="1"/>
  <c r="K373" i="1"/>
  <c r="B374" i="1"/>
  <c r="K374" i="1"/>
  <c r="B375" i="1"/>
  <c r="K375" i="1"/>
  <c r="B376" i="1"/>
  <c r="K376" i="1"/>
  <c r="L452" i="1"/>
  <c r="M452" i="1"/>
  <c r="N452" i="1"/>
  <c r="O452" i="1"/>
  <c r="P452" i="1"/>
  <c r="N17" i="11"/>
  <c r="B15" i="11"/>
  <c r="B16" i="11"/>
  <c r="J15" i="11"/>
  <c r="K15" i="11" s="1"/>
  <c r="J16" i="11"/>
  <c r="K16" i="11" s="1"/>
  <c r="S17" i="11"/>
  <c r="Q17" i="11"/>
  <c r="R17" i="11"/>
  <c r="P17" i="11" l="1"/>
  <c r="P18" i="11" s="1"/>
  <c r="M17" i="11"/>
  <c r="L17" i="11"/>
  <c r="J17" i="11" l="1"/>
  <c r="K17" i="11"/>
  <c r="J45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DENIS</author>
  </authors>
  <commentList>
    <comment ref="V1" authorId="0" shapeId="0" xr:uid="{00000000-0006-0000-0000-000001000000}">
      <text>
        <r>
          <rPr>
            <b/>
            <sz val="9"/>
            <color indexed="81"/>
            <rFont val="Tahoma"/>
            <family val="2"/>
          </rPr>
          <t>CONTASIS:
NUEVOS SOLES (S)
DOLARES AMERICANOS (D)</t>
        </r>
      </text>
    </comment>
    <comment ref="W1" authorId="0" shapeId="0" xr:uid="{00000000-0006-0000-0000-000002000000}">
      <text>
        <r>
          <rPr>
            <b/>
            <sz val="9"/>
            <color indexed="81"/>
            <rFont val="Tahoma"/>
            <family val="2"/>
          </rPr>
          <t>CONTASIS:
Este dato debe estar presente en todas los documentos cuya moneda sea dolares americanos</t>
        </r>
      </text>
    </comment>
    <comment ref="Y1" authorId="0" shapeId="0" xr:uid="{00000000-0006-0000-0000-000003000000}">
      <text>
        <r>
          <rPr>
            <b/>
            <sz val="9"/>
            <color indexed="81"/>
            <rFont val="Tahoma"/>
            <family val="2"/>
          </rPr>
          <t>CONTASIS:
Contado (CON)
Crédito (CRE)</t>
        </r>
      </text>
    </comment>
    <comment ref="AE1" authorId="0" shapeId="0" xr:uid="{00000000-0006-0000-0000-000004000000}">
      <text>
        <r>
          <rPr>
            <b/>
            <sz val="9"/>
            <color indexed="81"/>
            <rFont val="Tahoma"/>
            <family val="2"/>
          </rPr>
          <t>CONTASIS:
Regimen Especial
1   DETRACCION
2   PERCEPCION
3   RETENCION</t>
        </r>
      </text>
    </comment>
    <comment ref="AF1" authorId="0" shapeId="0" xr:uid="{00000000-0006-0000-0000-000005000000}">
      <text>
        <r>
          <rPr>
            <b/>
            <sz val="9"/>
            <color indexed="81"/>
            <rFont val="Tahoma"/>
            <family val="2"/>
          </rPr>
          <t>CONTASIS:
Porcentaje regimen especial</t>
        </r>
      </text>
    </comment>
    <comment ref="AG1" authorId="0" shapeId="0" xr:uid="{00000000-0006-0000-0000-000006000000}">
      <text>
        <r>
          <rPr>
            <b/>
            <sz val="9"/>
            <color indexed="81"/>
            <rFont val="Tahoma"/>
            <family val="2"/>
          </rPr>
          <t>CONTASIS:
Importe regimen especial</t>
        </r>
      </text>
    </comment>
    <comment ref="AH1" authorId="0" shapeId="0" xr:uid="{00000000-0006-0000-0000-000007000000}">
      <text>
        <r>
          <rPr>
            <b/>
            <sz val="9"/>
            <color indexed="81"/>
            <rFont val="Tahoma"/>
            <family val="2"/>
          </rPr>
          <t>CONTASIS:
Serie documento regimen especial</t>
        </r>
      </text>
    </comment>
    <comment ref="AI1" authorId="0" shapeId="0" xr:uid="{00000000-0006-0000-0000-000008000000}">
      <text>
        <r>
          <rPr>
            <b/>
            <sz val="9"/>
            <color indexed="81"/>
            <rFont val="Tahoma"/>
            <family val="2"/>
          </rPr>
          <t>CONTASIS:
Número documento regimen especial</t>
        </r>
      </text>
    </comment>
    <comment ref="AJ1" authorId="0" shapeId="0" xr:uid="{00000000-0006-0000-0000-000009000000}">
      <text>
        <r>
          <rPr>
            <b/>
            <sz val="9"/>
            <color indexed="81"/>
            <rFont val="Tahoma"/>
            <family val="2"/>
          </rPr>
          <t>CONTASIS:
Fecha documento regimen especial</t>
        </r>
      </text>
    </comment>
    <comment ref="AL1" authorId="0" shapeId="0" xr:uid="{00000000-0006-0000-0000-00000A000000}">
      <text>
        <r>
          <rPr>
            <b/>
            <sz val="9"/>
            <color indexed="81"/>
            <rFont val="Tahoma"/>
            <family val="2"/>
          </rPr>
          <t>CONTASIS:
Porcentaje I.G.V.
Ejemplo :    18.00</t>
        </r>
      </text>
    </comment>
    <comment ref="AM1" authorId="0" shapeId="0" xr:uid="{00000000-0006-0000-0000-00000B000000}">
      <text>
        <r>
          <rPr>
            <b/>
            <sz val="9"/>
            <color indexed="81"/>
            <rFont val="Tahoma"/>
            <family val="2"/>
          </rPr>
          <t>CONTASIS:
Glosa</t>
        </r>
      </text>
    </comment>
    <comment ref="AN1" authorId="0" shapeId="0" xr:uid="{00000000-0006-0000-0000-00000C000000}">
      <text>
        <r>
          <rPr>
            <b/>
            <sz val="9"/>
            <color indexed="81"/>
            <rFont val="Tahoma"/>
            <family val="2"/>
          </rPr>
          <t xml:space="preserve">CONTASIS:
Tipo de Medio de Pago
001  DEPOSITO EN CUENTA
002  GIRO
003  TRANSFERENCIA DE FONDOS
004  ORDEN DE PAGO
005  TARJETA DE DÉBITO
006  TARJETA DE CRÉDITO
007  CHEQUES "NO NEGOCIABLE" "INTRANSFERIBLE"
008  EFECTIVO SIN UTILIZAR MEDIOS DE PAGO
009  EFECTIVO MEDIOS DE PAGO
010  MEDIOS DE PAGO DE COMERCIO EXTERIOR
011  LETRAS DE CAMBIO
101  TRANSFERENCIAS - COMERCIO EXTERIOR
102  CHEQUES BANCARIOS - COMERCIO EXTERIOR
103  ORDEN DE PAGO SIMPLE - COMERCIO EXTERIOR
104  ORDEN DE PAGO DOCUMENTARIO - COMERCIO EXTERIOR
105  REMESA SIMPLE - COMERCIO EXTERIOR
106  REMESA DOCUMENTARIA - COMERCIO EXTERIOR
107  CARTA DE CRÉDITO SIMPLE - COMERCIO EXTERIOR
108  CARTA DE CRÉDITO DOCUMENTARIO - COMERCIO EXTERIOR
999  OTROS MEDIOS DE PAGO
</t>
        </r>
      </text>
    </comment>
    <comment ref="AO1" authorId="0" shapeId="0" xr:uid="{00000000-0006-0000-0000-00000D000000}">
      <text>
        <r>
          <rPr>
            <b/>
            <sz val="9"/>
            <color indexed="81"/>
            <rFont val="Tahoma"/>
            <family val="2"/>
          </rPr>
          <t>CONTASIS:
1: Si está Dentro
2: Si está Fuera</t>
        </r>
      </text>
    </comment>
    <comment ref="AP1" authorId="0" shapeId="0" xr:uid="{00000000-0006-0000-0000-00000E000000}">
      <text>
        <r>
          <rPr>
            <b/>
            <sz val="9"/>
            <color indexed="81"/>
            <rFont val="Tahoma"/>
            <family val="2"/>
          </rPr>
          <t>CONTASIS:
Importe para cálculo de Régimen Especial</t>
        </r>
      </text>
    </comment>
    <comment ref="H2" authorId="0" shapeId="0" xr:uid="{00000000-0006-0000-0000-00000F000000}">
      <text>
        <r>
          <rPr>
            <b/>
            <sz val="9"/>
            <color indexed="81"/>
            <rFont val="Tahoma"/>
            <family val="2"/>
          </rPr>
          <t>CONTASIS:
Modo de ingreso: 
Para Razón Social
Ejem: INDUSTRIAS PERUANAS S.A.
Para apellidos y nombres separados por comas
PATERNO,MATERNO,NOMBRE1,NOMBRE2
Ejem: PEREZ,SOSA,JUAN,LUIS</t>
        </r>
      </text>
    </comment>
    <comment ref="C3" authorId="0" shapeId="0" xr:uid="{00000000-0006-0000-0000-000010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3" authorId="0" shapeId="0" xr:uid="{00000000-0006-0000-0000-000011000000}">
      <text>
        <r>
          <rPr>
            <b/>
            <sz val="9"/>
            <color indexed="81"/>
            <rFont val="Tahoma"/>
            <family val="2"/>
          </rPr>
          <t>CONTASIS:
N° Serie o N° Serie de la maquina registradora.</t>
        </r>
      </text>
    </comment>
    <comment ref="F3" authorId="0" shapeId="0" xr:uid="{00000000-0006-0000-0000-000012000000}">
      <text>
        <r>
          <rPr>
            <b/>
            <sz val="9"/>
            <color indexed="81"/>
            <rFont val="Tahoma"/>
            <family val="2"/>
          </rPr>
          <t xml:space="preserve">CONTASIS:
Tipo de Documento
0  OTROS TIPOS DE DOCUMENTOS
1  DNI / DOCUMENTO NACIONAL DE IDENTIDAD
4  CARNET DE EXTRANJERIA
6  RUC / REGISTRO ÚNICO DE CONTRIBUYENTES
7  PASAPORTE
A  CÉDULA DIPLOMÁTICA DE IDENTIDAD
</t>
        </r>
      </text>
    </comment>
    <comment ref="S3" authorId="0" shapeId="0" xr:uid="{00000000-0006-0000-0000-000013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4" authorId="0" shapeId="0" xr:uid="{00000000-0006-0000-0000-000014000000}">
      <text>
        <r>
          <rPr>
            <b/>
            <sz val="9"/>
            <color indexed="81"/>
            <rFont val="Tahoma"/>
            <family val="2"/>
          </rPr>
          <t>CONTASIS:
Este dato debe estar presente en todas las lineas del documento.</t>
        </r>
      </text>
    </comment>
    <comment ref="B4" authorId="0" shapeId="0" xr:uid="{00000000-0006-0000-0000-000015000000}">
      <text>
        <r>
          <rPr>
            <b/>
            <sz val="9"/>
            <color indexed="81"/>
            <rFont val="Tahoma"/>
            <family val="2"/>
          </rPr>
          <t>CONTASIS:
Este dato debe estar presente en todas las lineas del documento.</t>
        </r>
      </text>
    </comment>
    <comment ref="C4" authorId="0" shapeId="0" xr:uid="{00000000-0006-0000-0000-000016000000}">
      <text>
        <r>
          <rPr>
            <b/>
            <sz val="9"/>
            <color indexed="81"/>
            <rFont val="Tahoma"/>
            <family val="2"/>
          </rPr>
          <t>CONTASIS:
Este dato debe estar presente en todas las lineas del documento.</t>
        </r>
      </text>
    </comment>
    <comment ref="D4" authorId="0" shapeId="0" xr:uid="{00000000-0006-0000-0000-000017000000}">
      <text>
        <r>
          <rPr>
            <b/>
            <sz val="9"/>
            <color indexed="81"/>
            <rFont val="Tahoma"/>
            <family val="2"/>
          </rPr>
          <t>CONTASIS:
Este dato debe estar presente en todas las lineas del documento.</t>
        </r>
      </text>
    </comment>
    <comment ref="E4" authorId="0" shapeId="0" xr:uid="{00000000-0006-0000-0000-000018000000}">
      <text>
        <r>
          <rPr>
            <b/>
            <sz val="9"/>
            <color indexed="81"/>
            <rFont val="Tahoma"/>
            <family val="2"/>
          </rPr>
          <t>CONTASIS:
Este dato debe estar presente en todas las lineas del documento.</t>
        </r>
      </text>
    </comment>
    <comment ref="F4" authorId="0" shapeId="0" xr:uid="{00000000-0006-0000-0000-000019000000}">
      <text>
        <r>
          <rPr>
            <b/>
            <sz val="9"/>
            <color indexed="81"/>
            <rFont val="Tahoma"/>
            <family val="2"/>
          </rPr>
          <t>CONTASIS:
Este dato debe estar presente en todas las lineas del documento.</t>
        </r>
      </text>
    </comment>
    <comment ref="G4" authorId="0" shapeId="0" xr:uid="{00000000-0006-0000-0000-00001A000000}">
      <text>
        <r>
          <rPr>
            <b/>
            <sz val="9"/>
            <color indexed="81"/>
            <rFont val="Tahoma"/>
            <family val="2"/>
          </rPr>
          <t>CONTASIS:
Este dato debe estar presente en todas las lineas del documento.</t>
        </r>
      </text>
    </comment>
    <comment ref="H4" authorId="0" shapeId="0" xr:uid="{00000000-0006-0000-0000-00001B000000}">
      <text>
        <r>
          <rPr>
            <b/>
            <sz val="9"/>
            <color indexed="81"/>
            <rFont val="Tahoma"/>
            <family val="2"/>
          </rPr>
          <t>CONTASIS:
Este dato debe estar presente en todas las lineas del documento.</t>
        </r>
      </text>
    </comment>
    <comment ref="Q4" authorId="0" shapeId="0" xr:uid="{00000000-0006-0000-0000-00001C000000}">
      <text>
        <r>
          <rPr>
            <b/>
            <sz val="9"/>
            <color indexed="81"/>
            <rFont val="Tahoma"/>
            <family val="2"/>
          </rPr>
          <t>CONTASIS:
Este dato debe estar presente en todas las lineas del documento.</t>
        </r>
      </text>
    </comment>
    <comment ref="R4" authorId="0" shapeId="0" xr:uid="{00000000-0006-0000-0000-00001D000000}">
      <text>
        <r>
          <rPr>
            <b/>
            <sz val="9"/>
            <color indexed="81"/>
            <rFont val="Tahoma"/>
            <family val="2"/>
          </rPr>
          <t>CONTASIS:
Este dato debe estar presente en todas las lineas del documento.</t>
        </r>
      </text>
    </comment>
    <comment ref="S4" authorId="0" shapeId="0" xr:uid="{00000000-0006-0000-0000-00001E000000}">
      <text>
        <r>
          <rPr>
            <b/>
            <sz val="9"/>
            <color indexed="81"/>
            <rFont val="Tahoma"/>
            <family val="2"/>
          </rPr>
          <t>CONTASIS:
Este dato debe estar presente en todas las lineas del documento.</t>
        </r>
      </text>
    </comment>
    <comment ref="T4" authorId="0" shapeId="0" xr:uid="{00000000-0006-0000-0000-00001F000000}">
      <text>
        <r>
          <rPr>
            <b/>
            <sz val="9"/>
            <color indexed="81"/>
            <rFont val="Tahoma"/>
            <family val="2"/>
          </rPr>
          <t>CONTASIS:
Este dato debe estar presente en todas las lineas del documento.</t>
        </r>
      </text>
    </comment>
    <comment ref="U4" authorId="0" shapeId="0" xr:uid="{00000000-0006-0000-0000-000020000000}">
      <text>
        <r>
          <rPr>
            <b/>
            <sz val="9"/>
            <color indexed="81"/>
            <rFont val="Tahoma"/>
            <family val="2"/>
          </rPr>
          <t>CONTASIS:
Este dato debe estar presente en todas las lineas del documento.</t>
        </r>
      </text>
    </comment>
    <comment ref="V4" authorId="0" shapeId="0" xr:uid="{00000000-0006-0000-0000-000021000000}">
      <text>
        <r>
          <rPr>
            <b/>
            <sz val="9"/>
            <color indexed="81"/>
            <rFont val="Tahoma"/>
            <family val="2"/>
          </rPr>
          <t>CONTASIS:
Este dato debe estar presente en todas las lineas del documento.</t>
        </r>
      </text>
    </comment>
    <comment ref="X4" authorId="0" shapeId="0" xr:uid="{00000000-0006-0000-0000-000022000000}">
      <text>
        <r>
          <rPr>
            <b/>
            <sz val="9"/>
            <color indexed="81"/>
            <rFont val="Tahoma"/>
            <family val="2"/>
          </rPr>
          <t>CONTASIS:
Este dato debe estar presente en todas las lineas del documento.</t>
        </r>
      </text>
    </comment>
    <comment ref="Y4" authorId="0" shapeId="0" xr:uid="{00000000-0006-0000-0000-000023000000}">
      <text>
        <r>
          <rPr>
            <b/>
            <sz val="9"/>
            <color indexed="81"/>
            <rFont val="Tahoma"/>
            <family val="2"/>
          </rPr>
          <t>CONTASIS:
Este dato debe estar presente en todas las lineas del documento.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DENIS</author>
    <author>Serconssa</author>
  </authors>
  <commentList>
    <comment ref="F10" authorId="0" shapeId="0" xr:uid="{00000000-0006-0000-0100-000001000000}">
      <text>
        <r>
          <rPr>
            <b/>
            <sz val="9"/>
            <color indexed="81"/>
            <rFont val="Tahoma"/>
            <family val="2"/>
          </rPr>
          <t>CONTASIS:
N° comprobante pago, documento, N° de orden del formulario fisico/virtual, N° de DUA,DSI o liquidación de cobranza u otros documentos emitidos por sunat para acreditar el credito fiscal en la importación</t>
        </r>
      </text>
    </comment>
    <comment ref="AB10" authorId="0" shapeId="0" xr:uid="{00000000-0006-0000-0100-000002000000}">
      <text>
        <r>
          <rPr>
            <b/>
            <sz val="9"/>
            <color indexed="81"/>
            <rFont val="Tahoma"/>
            <family val="2"/>
          </rPr>
          <t>CONTASIS:
NUEVOS SOLES (S)
DOLARES AMERICANOS (D)</t>
        </r>
      </text>
    </comment>
    <comment ref="AC10" authorId="0" shapeId="0" xr:uid="{00000000-0006-0000-0100-000003000000}">
      <text>
        <r>
          <rPr>
            <b/>
            <sz val="9"/>
            <color indexed="81"/>
            <rFont val="Tahoma"/>
            <family val="2"/>
          </rPr>
          <t>CONTASIS:
Este dato debe estar presente en todas los documentos cuya moneda sea dolares americanos</t>
        </r>
      </text>
    </comment>
    <comment ref="AE10" authorId="0" shapeId="0" xr:uid="{00000000-0006-0000-0100-000004000000}">
      <text>
        <r>
          <rPr>
            <b/>
            <sz val="9"/>
            <color indexed="81"/>
            <rFont val="Tahoma"/>
            <family val="2"/>
          </rPr>
          <t>CONTASIS:
Contado (CON)
Crédito (CRE)</t>
        </r>
      </text>
    </comment>
    <comment ref="AK10" authorId="0" shapeId="0" xr:uid="{00000000-0006-0000-0100-000005000000}">
      <text>
        <r>
          <rPr>
            <b/>
            <sz val="9"/>
            <color indexed="81"/>
            <rFont val="Tahoma"/>
            <family val="2"/>
          </rPr>
          <t>CONTASIS:
Regimen Especial
1   DETRACCION
2   PERCEPCION
3   RETENCION</t>
        </r>
      </text>
    </comment>
    <comment ref="AL10" authorId="0" shapeId="0" xr:uid="{00000000-0006-0000-0100-000006000000}">
      <text>
        <r>
          <rPr>
            <b/>
            <sz val="9"/>
            <color indexed="81"/>
            <rFont val="Tahoma"/>
            <family val="2"/>
          </rPr>
          <t>CONTASIS:
Porcentaje regimen especial</t>
        </r>
      </text>
    </comment>
    <comment ref="AM10" authorId="0" shapeId="0" xr:uid="{00000000-0006-0000-0100-000007000000}">
      <text>
        <r>
          <rPr>
            <b/>
            <sz val="9"/>
            <color indexed="81"/>
            <rFont val="Tahoma"/>
            <family val="2"/>
          </rPr>
          <t>CONTASIS:
Importe regimen especial</t>
        </r>
      </text>
    </comment>
    <comment ref="AN10" authorId="0" shapeId="0" xr:uid="{00000000-0006-0000-0100-000008000000}">
      <text>
        <r>
          <rPr>
            <b/>
            <sz val="9"/>
            <color indexed="81"/>
            <rFont val="Tahoma"/>
            <family val="2"/>
          </rPr>
          <t>CONTASIS:
Serie documento regimen especial</t>
        </r>
      </text>
    </comment>
    <comment ref="AO10" authorId="0" shapeId="0" xr:uid="{00000000-0006-0000-0100-000009000000}">
      <text>
        <r>
          <rPr>
            <b/>
            <sz val="9"/>
            <color indexed="81"/>
            <rFont val="Tahoma"/>
            <family val="2"/>
          </rPr>
          <t>CONTASIS:
Número documento regimen especial</t>
        </r>
      </text>
    </comment>
    <comment ref="AP10" authorId="0" shapeId="0" xr:uid="{00000000-0006-0000-0100-00000A000000}">
      <text>
        <r>
          <rPr>
            <b/>
            <sz val="9"/>
            <color indexed="81"/>
            <rFont val="Tahoma"/>
            <family val="2"/>
          </rPr>
          <t>CONTASIS:
Fecha documento regimen especial</t>
        </r>
      </text>
    </comment>
    <comment ref="AR10" authorId="0" shapeId="0" xr:uid="{00000000-0006-0000-0100-00000B000000}">
      <text>
        <r>
          <rPr>
            <b/>
            <sz val="9"/>
            <color indexed="81"/>
            <rFont val="Tahoma"/>
            <family val="2"/>
          </rPr>
          <t>CONTASIS:
Porcentaje I.G.V.
Ejemplo :    18.00</t>
        </r>
      </text>
    </comment>
    <comment ref="AS10" authorId="0" shapeId="0" xr:uid="{00000000-0006-0000-0100-00000C000000}">
      <text>
        <r>
          <rPr>
            <b/>
            <sz val="9"/>
            <color indexed="81"/>
            <rFont val="Tahoma"/>
            <family val="2"/>
          </rPr>
          <t>CONTASIS:
Glosa</t>
        </r>
      </text>
    </comment>
    <comment ref="AT10" authorId="0" shapeId="0" xr:uid="{00000000-0006-0000-0100-00000D000000}">
      <text>
        <r>
          <rPr>
            <b/>
            <sz val="9"/>
            <color indexed="81"/>
            <rFont val="Tahoma"/>
            <family val="2"/>
          </rPr>
          <t>CONTASIS:
1: Si está Dentro
2: Si está Fuera</t>
        </r>
      </text>
    </comment>
    <comment ref="AU10" authorId="0" shapeId="0" xr:uid="{00000000-0006-0000-0100-00000E000000}">
      <text>
        <r>
          <rPr>
            <b/>
            <sz val="9"/>
            <color indexed="81"/>
            <rFont val="Tahoma"/>
            <family val="2"/>
          </rPr>
          <t>CONTASIS:
Importe para cálculo de Régimen Especial</t>
        </r>
      </text>
    </comment>
    <comment ref="I11" authorId="0" shapeId="0" xr:uid="{00000000-0006-0000-0100-00000F000000}">
      <text>
        <r>
          <rPr>
            <b/>
            <sz val="9"/>
            <color indexed="81"/>
            <rFont val="Tahoma"/>
            <family val="2"/>
          </rPr>
          <t>CONTASIS:
Modo de ingreso: 
Para Razón Social
Ejem: INDUSTRIAS PERUANAS S.A.
Para apellidos y nombres separados por comas
PATERNO,MATERNO,NOMBRE1,NOMBRE2
Ejem: PEREZ,SOSA,JUAN,LUIS</t>
        </r>
      </text>
    </comment>
    <comment ref="C12" authorId="0" shapeId="0" xr:uid="{00000000-0006-0000-0100-000010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D12" authorId="0" shapeId="0" xr:uid="{00000000-0006-0000-0100-000011000000}">
      <text>
        <r>
          <rPr>
            <b/>
            <sz val="9"/>
            <color indexed="81"/>
            <rFont val="Tahoma"/>
            <family val="2"/>
          </rPr>
          <t>CONTASIS:
Serie o codigo de la dependencia aduanera</t>
        </r>
      </text>
    </comment>
    <comment ref="G12" authorId="0" shapeId="0" xr:uid="{00000000-0006-0000-0100-000012000000}">
      <text>
        <r>
          <rPr>
            <b/>
            <sz val="9"/>
            <color indexed="81"/>
            <rFont val="Tahoma"/>
            <family val="2"/>
          </rPr>
          <t xml:space="preserve">CONTASIS:
Tipo de documento
0  OTROS TIPOS DE DOCUMENTOS
1  DOCUMENTO NACIONAL DE IDENTIDAD (DNI)
4  CARNET DE EXTRANJERIA
6  REGISTRO ÚNICO DE CONTRIBUYENTES
7  PASAPORTE
</t>
        </r>
      </text>
    </comment>
    <comment ref="U12" authorId="0" shapeId="0" xr:uid="{00000000-0006-0000-0100-000013000000}">
      <text>
        <r>
          <rPr>
            <b/>
            <sz val="9"/>
            <color indexed="81"/>
            <rFont val="Tahoma"/>
            <family val="2"/>
          </rPr>
          <t xml:space="preserve">CONTASIS:
SERIE-NUMERO (Serie 6 Carac - Numero 13 Carac)
NUMERO (13 Carac)
</t>
        </r>
      </text>
    </comment>
    <comment ref="Y12" authorId="0" shapeId="0" xr:uid="{00000000-0006-0000-0100-000014000000}">
      <text>
        <r>
          <rPr>
            <b/>
            <sz val="9"/>
            <color indexed="81"/>
            <rFont val="Tahoma"/>
            <family val="2"/>
          </rPr>
          <t xml:space="preserve">CONTASIS:
Tipo de documento
00  OTROS
01  FACTURA
02  RECIBO DE HONORARIOS
03  BOLETA DE VENTA
04  LIQUIDACIÓN DE COMPRA
05  BOLETO TRANS. AÉREO PASAJEROS
06  BOLETO TRANS. AÉREO CARGA
07  NOTA DE CRÉDITO
08  NOTA DE DÉBITO
09  GUIA DE REMISIÓN - REMITENTE
10  RECIBO POR ARRENDAMIENTO
11  PÓLIZA BOLSA DE VAL, PRODU OTR
12  TICKET MAQUINA REGISTRADORA
13  DOCUMENTO ENTIDADES FINANCIERA
14  RECIBO SERV. PUBLICOS
15  BOLETO TRANSP PUBLIC URBANO
16  BOLETO DE VIAJE TRANSP PASAJER
17  DOCUM IGLESIA CATÓLICA ARREND
18  DOCUMENTO EMITIDO POR AFPs
19  BOLETO EVENTOS PUBLICOS
20  COMPROBANTE DE RETENCIÓN
21  CONOC EMBARQU TRANS CARGA MARI
22  COMPROB. OPER. NO HABITUALES
23  PÓLIZA ADJUD REMATE VENTA MART
24  CERTIF. PAGO REGALIA PERUPETRO
25  DOCUMENTO DE ATRIBUCIÓN - IGV
26  RECIB. SERV AGUA FINES AGRARIO
27  SCTR - SEGUR COMPL TRAB RIESGO
28  TARIF UNIFICADA USO AEROPUERTO
29  DOCUM. EMITIDO POR COFOPRI
30  DOC EMPR ADQUI TARJ CRED DEBIT
31  GUIA REMISIÓN - TRANSPORTISTA
32  DOC. DE INDUS. DE GAS NATURAL
33  MANIFIESTO DE PASAJEROS
34  DOCUMENTO DEL OPERADOR
35  DOCUMENTO DEL PARTÍCIPE
36  RECIBO DISTRIBUCIÓN GAS NATURA
37  DOC CONCES REVISION TECNI VEHI
40  COMPROBANTE DE PERCEPCIÓN
41  COMPROBANTE PERC. - VENTA INT.
42  DOC EMIT EMP SISTEM DE PAGO TC
43  BOL. AVIA COMER NO REGUL PASAJ
44  BILLET DE LOTERÍA, RIFA Y APUE
45  DOC EMIT CENT EDUC NO GRAVADOS
46  FORMULARIO DE DECLARACIÓN VI
48  COMPROBANTE DE OPERACIONES - LEY N° 29972
49  CONSTANCIA DE DEPÓSITO - IVAP
50  DECLARACION UNICA ADUANAS - ID
51  PÓLIZA O DUI FRACCIONADA
52  DESPACHO SIMPLIF. - IMPOR SIMP
53  DECLARACIÓN MENSAJERIA COURIER
54  LIQUIDACIÓN DE COBRANZA
55  BVME TRANS FERROV PASAJEROS
56  COMPROBANTE PAGO SEAE
87  NOTA DE CRÉDITO ESPECIAL
88  NOTA DE DÉBITO ESPECIAL
89  NOTA DE AJUSTE DE OPERACIONES - LEY N° 29972
91  COMPROBANTE DE NO DOMICILIADO
96  EXCESO CRÉD FISC x RETIRO BIEN
97  NOTA CRÉDITO - NO DOMICILIADO
98  NOTA DÉBITO - NO DOMICIALIADO
CH  CHEQUE
DP  DEPOSITO
LA  LIBRO DE ACTAS
LE  LETRA DE CAMBIO
LI  LIQUIDACION
NI  NOTA INGRESO A ALMACEN
NS  NOTA DE SALIDA DE ALMACEN
OP  ORDEN DE PEDIDO
PA  PAGARÉ
PL  PLANILLA REMUNERACION
PM  PLANILLA MOVILIDAD
RA  REGISTRO DE ACCIONES
RE  RECIBO DE EGRESO - CAJA
RI  RECIBO DE INGRESO - CAJA
ZZ  VARIOS
</t>
        </r>
      </text>
    </comment>
    <comment ref="A13" authorId="0" shapeId="0" xr:uid="{00000000-0006-0000-0100-000015000000}">
      <text>
        <r>
          <rPr>
            <b/>
            <sz val="9"/>
            <color indexed="81"/>
            <rFont val="Tahoma"/>
            <family val="2"/>
          </rPr>
          <t>CONTASIS:
Este dato debe estar presente en todas las lineas del documento.</t>
        </r>
      </text>
    </comment>
    <comment ref="B13" authorId="0" shapeId="0" xr:uid="{00000000-0006-0000-0100-000016000000}">
      <text>
        <r>
          <rPr>
            <b/>
            <sz val="9"/>
            <color indexed="81"/>
            <rFont val="Tahoma"/>
            <family val="2"/>
          </rPr>
          <t>CONTASIS:
Este dato debe estar presente en todas las lineas del documento.</t>
        </r>
      </text>
    </comment>
    <comment ref="C13" authorId="0" shapeId="0" xr:uid="{00000000-0006-0000-0100-000017000000}">
      <text>
        <r>
          <rPr>
            <b/>
            <sz val="9"/>
            <color indexed="81"/>
            <rFont val="Tahoma"/>
            <family val="2"/>
          </rPr>
          <t>CONTASIS:
Este dato debe estar presente en todas las lineas del documento.</t>
        </r>
      </text>
    </comment>
    <comment ref="D13" authorId="0" shapeId="0" xr:uid="{00000000-0006-0000-0100-000018000000}">
      <text>
        <r>
          <rPr>
            <b/>
            <sz val="9"/>
            <color indexed="81"/>
            <rFont val="Tahoma"/>
            <family val="2"/>
          </rPr>
          <t>CONTASIS:
Este dato debe estar presente en todas las lineas del documento.</t>
        </r>
      </text>
    </comment>
    <comment ref="E13" authorId="0" shapeId="0" xr:uid="{00000000-0006-0000-0100-000019000000}">
      <text>
        <r>
          <rPr>
            <b/>
            <sz val="9"/>
            <color indexed="81"/>
            <rFont val="Tahoma"/>
            <family val="2"/>
          </rPr>
          <t>CONTASIS:
Este dato debe estar presente en todas las lineas del documento.</t>
        </r>
      </text>
    </comment>
    <comment ref="F13" authorId="0" shapeId="0" xr:uid="{00000000-0006-0000-0100-00001A000000}">
      <text>
        <r>
          <rPr>
            <b/>
            <sz val="9"/>
            <color indexed="81"/>
            <rFont val="Tahoma"/>
            <family val="2"/>
          </rPr>
          <t>CONTASIS:
Este dato debe estar presente en todas las lineas del documento.</t>
        </r>
      </text>
    </comment>
    <comment ref="G13" authorId="0" shapeId="0" xr:uid="{00000000-0006-0000-0100-00001B000000}">
      <text>
        <r>
          <rPr>
            <b/>
            <sz val="9"/>
            <color indexed="81"/>
            <rFont val="Tahoma"/>
            <family val="2"/>
          </rPr>
          <t>CONTASIS:
Este dato debe estar presente en todas las lineas del documento.</t>
        </r>
      </text>
    </comment>
    <comment ref="H13" authorId="0" shapeId="0" xr:uid="{00000000-0006-0000-0100-00001C000000}">
      <text>
        <r>
          <rPr>
            <b/>
            <sz val="9"/>
            <color indexed="81"/>
            <rFont val="Tahoma"/>
            <family val="2"/>
          </rPr>
          <t>CONTASIS:
Este dato debe estar presente en todas las lineas del documento.</t>
        </r>
      </text>
    </comment>
    <comment ref="I13" authorId="0" shapeId="0" xr:uid="{00000000-0006-0000-0100-00001D000000}">
      <text>
        <r>
          <rPr>
            <b/>
            <sz val="9"/>
            <color indexed="81"/>
            <rFont val="Tahoma"/>
            <family val="2"/>
          </rPr>
          <t>CONTASIS:
Este dato debe estar presente en todas las lineas del documento.</t>
        </r>
      </text>
    </comment>
    <comment ref="T13" authorId="0" shapeId="0" xr:uid="{00000000-0006-0000-0100-00001E000000}">
      <text>
        <r>
          <rPr>
            <b/>
            <sz val="9"/>
            <color indexed="81"/>
            <rFont val="Tahoma"/>
            <family val="2"/>
          </rPr>
          <t>CONTASIS:
Este dato debe estar presente en todas las lineas del documento.</t>
        </r>
      </text>
    </comment>
    <comment ref="U13" authorId="0" shapeId="0" xr:uid="{00000000-0006-0000-0100-00001F000000}">
      <text>
        <r>
          <rPr>
            <b/>
            <sz val="9"/>
            <color indexed="81"/>
            <rFont val="Tahoma"/>
            <family val="2"/>
          </rPr>
          <t>CONTASIS:
Este dato debe estar presente en todas las lineas del documento.</t>
        </r>
      </text>
    </comment>
    <comment ref="V13" authorId="0" shapeId="0" xr:uid="{00000000-0006-0000-0100-000020000000}">
      <text>
        <r>
          <rPr>
            <b/>
            <sz val="9"/>
            <color indexed="81"/>
            <rFont val="Tahoma"/>
            <family val="2"/>
          </rPr>
          <t>CONTASIS:
Este dato debe estar presente en todas las lineas del documento.</t>
        </r>
      </text>
    </comment>
    <comment ref="W13" authorId="0" shapeId="0" xr:uid="{00000000-0006-0000-0100-000021000000}">
      <text>
        <r>
          <rPr>
            <b/>
            <sz val="9"/>
            <color indexed="81"/>
            <rFont val="Tahoma"/>
            <family val="2"/>
          </rPr>
          <t>CONTASIS:
Este dato debe estar presente en todas las lineas del documento.</t>
        </r>
      </text>
    </comment>
    <comment ref="X13" authorId="0" shapeId="0" xr:uid="{00000000-0006-0000-0100-000022000000}">
      <text>
        <r>
          <rPr>
            <b/>
            <sz val="9"/>
            <color indexed="81"/>
            <rFont val="Tahoma"/>
            <family val="2"/>
          </rPr>
          <t>CONTASIS:
Este dato debe estar presente en todas las lineas del documento.</t>
        </r>
      </text>
    </comment>
    <comment ref="Y13" authorId="0" shapeId="0" xr:uid="{00000000-0006-0000-0100-000023000000}">
      <text>
        <r>
          <rPr>
            <b/>
            <sz val="9"/>
            <color indexed="81"/>
            <rFont val="Tahoma"/>
            <family val="2"/>
          </rPr>
          <t>CONTASIS:
Este dato debe estar presente en todas las lineas del documento.</t>
        </r>
      </text>
    </comment>
    <comment ref="Z13" authorId="0" shapeId="0" xr:uid="{00000000-0006-0000-0100-000024000000}">
      <text>
        <r>
          <rPr>
            <b/>
            <sz val="9"/>
            <color indexed="81"/>
            <rFont val="Tahoma"/>
            <family val="2"/>
          </rPr>
          <t>CONTASIS:
Este dato debe estar presente en todas las lineas del documento.</t>
        </r>
      </text>
    </comment>
    <comment ref="AA13" authorId="0" shapeId="0" xr:uid="{00000000-0006-0000-0100-000025000000}">
      <text>
        <r>
          <rPr>
            <b/>
            <sz val="9"/>
            <color indexed="81"/>
            <rFont val="Tahoma"/>
            <family val="2"/>
          </rPr>
          <t>CONTASIS:
Este dato debe estar presente en todas las lineas del documento.</t>
        </r>
      </text>
    </comment>
    <comment ref="AB13" authorId="0" shapeId="0" xr:uid="{00000000-0006-0000-0100-000026000000}">
      <text>
        <r>
          <rPr>
            <b/>
            <sz val="9"/>
            <color indexed="81"/>
            <rFont val="Tahoma"/>
            <family val="2"/>
          </rPr>
          <t>CONTASIS:
Este dato debe estar presente en todas las lineas del documento.</t>
        </r>
      </text>
    </comment>
    <comment ref="AD13" authorId="0" shapeId="0" xr:uid="{00000000-0006-0000-0100-000027000000}">
      <text>
        <r>
          <rPr>
            <b/>
            <sz val="9"/>
            <color indexed="81"/>
            <rFont val="Tahoma"/>
            <family val="2"/>
          </rPr>
          <t>CONTASIS:
Este dato debe estar presente en todas las lineas del documento.</t>
        </r>
      </text>
    </comment>
    <comment ref="AE13" authorId="0" shapeId="0" xr:uid="{00000000-0006-0000-0100-000028000000}">
      <text>
        <r>
          <rPr>
            <b/>
            <sz val="9"/>
            <color indexed="81"/>
            <rFont val="Tahoma"/>
            <family val="2"/>
          </rPr>
          <t>CONTASIS:
Este dato debe estar presente en todas las lineas del documento.</t>
        </r>
      </text>
    </comment>
    <comment ref="F14" authorId="1" shapeId="0" xr:uid="{A9051180-9AAB-43AA-848C-926CFBC5C3E2}">
      <text>
        <r>
          <rPr>
            <b/>
            <sz val="11"/>
            <color indexed="81"/>
            <rFont val="Tahoma"/>
            <family val="2"/>
          </rPr>
          <t>Serconssa:
ANTES 8333</t>
        </r>
      </text>
    </comment>
    <comment ref="W14" authorId="1" shapeId="0" xr:uid="{C4D8F15B-19A5-43C6-9541-5931E2954AED}">
      <text>
        <r>
          <rPr>
            <b/>
            <sz val="11"/>
            <color indexed="81"/>
            <rFont val="Tahoma"/>
            <family val="2"/>
          </rPr>
          <t>Serconssa:</t>
        </r>
        <r>
          <rPr>
            <sz val="11"/>
            <color indexed="81"/>
            <rFont val="Tahoma"/>
            <family val="2"/>
          </rPr>
          <t xml:space="preserve">
</t>
        </r>
      </text>
    </comment>
  </commentList>
</comments>
</file>

<file path=xl/sharedStrings.xml><?xml version="1.0" encoding="utf-8"?>
<sst xmlns="http://schemas.openxmlformats.org/spreadsheetml/2006/main" count="5120" uniqueCount="969">
  <si>
    <t>NOTA :</t>
  </si>
  <si>
    <t>1.- Usar Microsoft Excel 97-2003 ó Microsoft Excel 2007</t>
  </si>
  <si>
    <t>2.- Llenar los datos en la Fila y Columna de acuerdo a la cantidad de caracteres y/o numeros</t>
  </si>
  <si>
    <t>3.- Eliminar la Fila 1 a 13 dejando solo los ingresos realizados</t>
  </si>
  <si>
    <t>4.- Guardar el archivo en formato .xls (Ms. Excel 97-2003) ó .xlsx (Ms. Excel 2007)</t>
  </si>
  <si>
    <t>FECHA DE EMISION DEL COMPROBANTE DE PAGO O DOCUMENTO</t>
  </si>
  <si>
    <t>dd/mm/yyyy</t>
  </si>
  <si>
    <t>FECHA DE VENCIMIENTO O FECHA DE PAGO</t>
  </si>
  <si>
    <t>COMPROBANTE DE PAGO O DOCUMENTO</t>
  </si>
  <si>
    <t>TIPO</t>
  </si>
  <si>
    <t>02 CARACTERES</t>
  </si>
  <si>
    <t>N° SERIE/N° SERIE MAQ REGIS</t>
  </si>
  <si>
    <t>06 CARACTERES</t>
  </si>
  <si>
    <t>NUMERO</t>
  </si>
  <si>
    <t>13 CARACTERES</t>
  </si>
  <si>
    <t>INFORMACION DEL CLIENTE</t>
  </si>
  <si>
    <t>DOCUMENTO IDENTIDAD</t>
  </si>
  <si>
    <t>01 CARACTER</t>
  </si>
  <si>
    <t>11 CARACTERES</t>
  </si>
  <si>
    <t>APELLIDOS Y NOMBRES, DENOMINACION O RAZON SOCIAL</t>
  </si>
  <si>
    <t>60 CARACTERES</t>
  </si>
  <si>
    <t>VALOR FACTURADO DE LA EXPORTACION</t>
  </si>
  <si>
    <t>(15,2) NUMERICO</t>
  </si>
  <si>
    <t>BASE IMPONIBLE DE LA OPERACION GRAVADA</t>
  </si>
  <si>
    <t>IMPORTE TOTAL DE LA OPERACION EXONERADA O INAFECTA</t>
  </si>
  <si>
    <t>EXONERADA</t>
  </si>
  <si>
    <t>INAFECTA</t>
  </si>
  <si>
    <t>ISC</t>
  </si>
  <si>
    <t>IGV Y/O IPM</t>
  </si>
  <si>
    <t>OTROS TRIBUTOS Y CARGOS QUE NO FORMAN PARTE DE LA BASE IMPONIBLE</t>
  </si>
  <si>
    <t>IMPORTE TOTAL DEL COMPROBANTE DE PAGO</t>
  </si>
  <si>
    <t>TIPO DE CAMBIO</t>
  </si>
  <si>
    <t>(10,4) NUMERICO</t>
  </si>
  <si>
    <t>REFERENCIA DEL COMPROBANTE DE PAGO O DOCUMENTO ORIGINAL QUE SE MODIFICA</t>
  </si>
  <si>
    <t>FECHA</t>
  </si>
  <si>
    <t>SERIE</t>
  </si>
  <si>
    <t>N° COMPROBANTE PAGO O DOCUMENTO</t>
  </si>
  <si>
    <t>MONEDA</t>
  </si>
  <si>
    <t>EQUIVALENTE EN DOLARES AMERICANOS</t>
  </si>
  <si>
    <t>FECHA VENCIMIENTO</t>
  </si>
  <si>
    <t>CONDICION CONTADO/CREDITO</t>
  </si>
  <si>
    <t>03 CARACTERES</t>
  </si>
  <si>
    <t>CODIGO CENTRO DE COSTOS</t>
  </si>
  <si>
    <t>09 CARACTERES</t>
  </si>
  <si>
    <t>CODIGO CENTRO DE COSTOS 2</t>
  </si>
  <si>
    <t>CUENTA CONTABLE BASE IMPONIBLE</t>
  </si>
  <si>
    <t>10 CARACTERES</t>
  </si>
  <si>
    <t>CUENTA CONTABLE OTROS TRIBUTOS Y CARGOS</t>
  </si>
  <si>
    <t>CUENTA CONTABLE TOTAL</t>
  </si>
  <si>
    <t>REGIMEN ESPECIAL</t>
  </si>
  <si>
    <t>1 NUMERICO</t>
  </si>
  <si>
    <t>PORCENTAJE REGIMEN ESPECIAL</t>
  </si>
  <si>
    <t>(5,2) NUMERICO</t>
  </si>
  <si>
    <t>IMPORTE REGIMEN ESPECIAL</t>
  </si>
  <si>
    <t>SERIE DOCUMENTO REGIMEN ESPECIAL</t>
  </si>
  <si>
    <t>NUMERO DOCUMENTO REGIMEN ESPECIAL</t>
  </si>
  <si>
    <t>FECHA DOCUMENTO REGIMEN ESPECIAL</t>
  </si>
  <si>
    <t>CODIGO PRESUPUESTO</t>
  </si>
  <si>
    <t>PORCENTAJE I.G.V.</t>
  </si>
  <si>
    <t>GLOSA</t>
  </si>
  <si>
    <t>MEDIO DE PAGO</t>
  </si>
  <si>
    <t>CONDICIÓN DE PERCEPCIÓN</t>
  </si>
  <si>
    <t>IMPORTE PARA CALCULO RÉGIMEN ESPECIAL</t>
  </si>
  <si>
    <t>FORMATO REGISTRO DE COMPRAS  - SISTEMA EXPERTO CONTABLE 14.00</t>
  </si>
  <si>
    <t>N° COMPROBANTE PAGO</t>
  </si>
  <si>
    <t>INFORMACION PROVEEDOR</t>
  </si>
  <si>
    <t>ADQUISICIONES GRAVADAS DESTINADAS A OPERACIONES GRAVADAS Y/O EXPORTACION</t>
  </si>
  <si>
    <t>ADQUISICIONES GRAVADAS DESTINADAS A OPERACIONES GRAVADAS Y/O DE EXPORTACION Y A OPERACIONES NO GRAVADAS</t>
  </si>
  <si>
    <t>ADQUISICIONES GRAVADAS DESTINADAS A OPERACIONES NO GRAVADAS</t>
  </si>
  <si>
    <t>VALOR DE LAS ADQUISICIONES NO GRAVADAS</t>
  </si>
  <si>
    <t>OTROS TRIBUTOS Y CARGOS</t>
  </si>
  <si>
    <t>IMPORTE TOTAL</t>
  </si>
  <si>
    <t>N° COMPROBANTE DE PAGO EMITIDO POR SUJETO NO DOMICILIADO</t>
  </si>
  <si>
    <t>CONSTANCIA DE DEPOSITO DE DETRACCION</t>
  </si>
  <si>
    <t>IMPORTE RÉGIMEN ESPECIAL</t>
  </si>
  <si>
    <t>SERIE/CODIGO ADUANA</t>
  </si>
  <si>
    <t>AÑO EMISION DUA O DSI</t>
  </si>
  <si>
    <t>BASE IMPONIBLE</t>
  </si>
  <si>
    <t>IGV</t>
  </si>
  <si>
    <t>FECHA EMISION</t>
  </si>
  <si>
    <t>04 CARACTERES</t>
  </si>
  <si>
    <t>20 CARACTERES</t>
  </si>
  <si>
    <t>TOTAL</t>
  </si>
  <si>
    <t>01</t>
  </si>
  <si>
    <t xml:space="preserve">TOTAL </t>
  </si>
  <si>
    <t>03</t>
  </si>
  <si>
    <t>B001</t>
  </si>
  <si>
    <t>BC01</t>
  </si>
  <si>
    <t>QUISPE BALBIN ROLANDO GABRIEL</t>
  </si>
  <si>
    <t>ESPINOZA QUISPE MAXIMO</t>
  </si>
  <si>
    <t>PAREDES MARCAÑAUPA NEMESIO</t>
  </si>
  <si>
    <t>CORPORACION RIO BRANCO S A</t>
  </si>
  <si>
    <t>QUISPE CANCHANYA MARIO</t>
  </si>
  <si>
    <t>MANANI HUAIRE EDHY</t>
  </si>
  <si>
    <t>ADRIANO SOLANO TERESA MARCELINA</t>
  </si>
  <si>
    <t>SORIA ANCCO JESICA MONICA</t>
  </si>
  <si>
    <t>GARCIA ORCON JUSTINA</t>
  </si>
  <si>
    <t>ARTICA RICSE CARMEN ROSA</t>
  </si>
  <si>
    <t>ATAO PORRAS AVILIO YONY</t>
  </si>
  <si>
    <t>ZAMUDIO ALCOSER NESTOR</t>
  </si>
  <si>
    <t>ACUÑA MUNIVE LIDE FELIDIA</t>
  </si>
  <si>
    <t>GARAY CASAS ELIZABETH LILIANA</t>
  </si>
  <si>
    <t>TACZA TACZA LILI</t>
  </si>
  <si>
    <t>CAMAYO CAMAYO SILVIO</t>
  </si>
  <si>
    <t>GRUPO ZEPS S.A.C.</t>
  </si>
  <si>
    <t>ARCHI LEIVA NAZARIO CELSO</t>
  </si>
  <si>
    <t>TACZA MACHA CREMO ELEUDORO</t>
  </si>
  <si>
    <t>VILLADOMA DELZO YANNETH EVELIN</t>
  </si>
  <si>
    <t>CAIRAMPOMA SANTOS FELICIA</t>
  </si>
  <si>
    <t>TACZA BRUNO DELCY BRIGIDA</t>
  </si>
  <si>
    <t>POMA MAYHUA YAKELIN KATTY</t>
  </si>
  <si>
    <t>MUCHA INGA LUZ MARIA</t>
  </si>
  <si>
    <t>PEREZ GARAY SONIA</t>
  </si>
  <si>
    <t>HUAYNALAYA ALVAREZ ENA</t>
  </si>
  <si>
    <t>VILELA ARBOLEDA ALFREDO GREGORIO</t>
  </si>
  <si>
    <t>SALVE MEDIC SOCIEDAD ANONIMA CERRADA</t>
  </si>
  <si>
    <t>CEFA MAQUINARIAS E.I.R.L.</t>
  </si>
  <si>
    <t>CASCA E.I.R.L.</t>
  </si>
  <si>
    <t>IMPORTADORA DISTRIBUIDORA MABEL ANDREA SOCIEDAD ANONIMA CERRADA - IDIMA SAC.</t>
  </si>
  <si>
    <t>INCHI AMARO ROSANA</t>
  </si>
  <si>
    <t>LAZARO MACHA AYDE</t>
  </si>
  <si>
    <t>QUINTO GUERRA ELSA PAULA</t>
  </si>
  <si>
    <t>PAREDES PAREDES MEYLIN</t>
  </si>
  <si>
    <t>QUINTO VILCHEZ ANTOLINA</t>
  </si>
  <si>
    <t>FERNANDEZ QUIÑONES SHEENA</t>
  </si>
  <si>
    <t>PEREZ OSPINO JUAN CARLOS</t>
  </si>
  <si>
    <t>YALICO JAVIER DE PALACIOS BETTY</t>
  </si>
  <si>
    <t>PARIONA INDERIQUE YULY</t>
  </si>
  <si>
    <t>REYES GARAY PERCY HERACLIO</t>
  </si>
  <si>
    <t>QUEVEDO MOLINA JOSE ANTONIO</t>
  </si>
  <si>
    <t>VELIZ MARTINEZ ROSA MAGALI</t>
  </si>
  <si>
    <t>CASAS QUIÑONES MAXIMA</t>
  </si>
  <si>
    <t>MACHA QUINTO SOLI</t>
  </si>
  <si>
    <t>CAMAYO DE ARTICA LIDIA</t>
  </si>
  <si>
    <t>NUÑUVERO LOPEZ NELLY</t>
  </si>
  <si>
    <t>IMPORTACIONES RAMBO EMPRESA INDIVIDUAL DE RESPONSABILIDAD LIMITADA</t>
  </si>
  <si>
    <t>ROJAS PORRAS AMERICO</t>
  </si>
  <si>
    <t>LA CASA DEL NEUMATICO EMPRESA INDIVIDUAL DE RESPONSABILIDAD LIMITADA</t>
  </si>
  <si>
    <t>ALIAGA RAMIREZ ARMENGOL TEOFILO</t>
  </si>
  <si>
    <t>TACZA REYES MANUEL</t>
  </si>
  <si>
    <t>ROMERO GARCIA YESENIA</t>
  </si>
  <si>
    <t>HUAYRE MACHA VIOLETA YANET</t>
  </si>
  <si>
    <t>FLORES GAVIDIA LEONISA YHOANNA</t>
  </si>
  <si>
    <t>YKEGAWA PERALTA OLINDA REBECA</t>
  </si>
  <si>
    <t>HINOSTROZA CAMACHO HUGO MANUEL</t>
  </si>
  <si>
    <t>PALACIOS YUPANQUI CESAR EDUARDO</t>
  </si>
  <si>
    <t>INVERSIONES LOPEZ´Q S.A.C.</t>
  </si>
  <si>
    <t>GRUPO CONGESER SANJIM S.A.C.</t>
  </si>
  <si>
    <t>ARROYO VILLALVA EVIT</t>
  </si>
  <si>
    <t>ROSALES SEGAMA FREDDY</t>
  </si>
  <si>
    <t>SANDI ZAMBRANO JUAN JOSE</t>
  </si>
  <si>
    <t>VASQUEZ ARROYO IDA MARTHA</t>
  </si>
  <si>
    <t>RICSE INGA LUCY VIVIANA</t>
  </si>
  <si>
    <t>VERASTEGUI DAMIAN BACELISA</t>
  </si>
  <si>
    <t>HUAIRE MORALES LUDI</t>
  </si>
  <si>
    <t>BUENO LOPEZ JORGE VICTOR</t>
  </si>
  <si>
    <t>AVILA HUAMANI JOEL JHAMES</t>
  </si>
  <si>
    <t>MUÑOZ AYLAS JERSON AMERICO</t>
  </si>
  <si>
    <t>YANTAS ARELLANO ZENOVIA DELIA</t>
  </si>
  <si>
    <t>ZANABRIA CHAMBERGO GLORIA</t>
  </si>
  <si>
    <t>CAMACHO ROJAS RUSEL WILLY</t>
  </si>
  <si>
    <t>SOLANO CAMAYO MARIA ANTONIETA</t>
  </si>
  <si>
    <t>MOLINA CARDENAS CARLOS FERNANDO</t>
  </si>
  <si>
    <t>HUAMAN PAUCAR BRODY</t>
  </si>
  <si>
    <t>BASTIDAS SOLANO ELIZABETH</t>
  </si>
  <si>
    <t>ALVAREZ QUINTANA RONALD DARWIN</t>
  </si>
  <si>
    <t>TOCAS QUIÑONES JUAN CARLOS</t>
  </si>
  <si>
    <t>MUCHA EGOAVIL ANA LUZ</t>
  </si>
  <si>
    <t>DAMIAN AQUINO EUSTAQUIO FRANCISCO</t>
  </si>
  <si>
    <t>SAIRE JALIXTO NAYELI MILAGROS</t>
  </si>
  <si>
    <t>MORALES CALERO FRANCISCO BELISARIO</t>
  </si>
  <si>
    <t>JULCA GONZALES RAUL</t>
  </si>
  <si>
    <t>BAQUERIZO PEÑA FLORENTINO GUZMAN</t>
  </si>
  <si>
    <t>HUAIRE AQUINO ILDA DELFINA</t>
  </si>
  <si>
    <t>CHIHUAN INGA VELY</t>
  </si>
  <si>
    <t>QUISPEALAYA INGA MARTHA LUZ</t>
  </si>
  <si>
    <t>PERALTA VIVANCO EDWIN MANUEL</t>
  </si>
  <si>
    <t>RIVERA DONAYRE DE RODRIGUEZ IDANIA ESTHER</t>
  </si>
  <si>
    <t>CAMAYO ESPEJO FANNY</t>
  </si>
  <si>
    <t>SERVICIOS E IMPORTACIONES QUIÑONES S.A.C.</t>
  </si>
  <si>
    <t>SOCUALAYA CERRON ELDER</t>
  </si>
  <si>
    <t>ZEVALLOS SALINAS SANTIAGO</t>
  </si>
  <si>
    <t>INGA HUAYAS CELESTINA</t>
  </si>
  <si>
    <t>DAMIAN QUIÑONES YESSICA</t>
  </si>
  <si>
    <t>NINALAYA ALVARADO EDGAR</t>
  </si>
  <si>
    <t>BRUNO CAMPOSANO HERMINDA</t>
  </si>
  <si>
    <t>COTERA DAMIAN CLEYDERMAN JHAROL</t>
  </si>
  <si>
    <t>VILLANUEVA CAMAYO MARICELA GISELA</t>
  </si>
  <si>
    <t>DAMIAN QUIÑONES MARLENI</t>
  </si>
  <si>
    <t>GUERRA COTERA LUZ AMANDA</t>
  </si>
  <si>
    <t>CIRINEO FIGUEROA BETTY EDITH</t>
  </si>
  <si>
    <t>BRUNO DAMIAN PAULINA</t>
  </si>
  <si>
    <t>CASTRO MARIN LEONARDO AUGUSTO</t>
  </si>
  <si>
    <t>PAUCAR SOLIS MARCELINA</t>
  </si>
  <si>
    <t>PUMACAHUA CONDE PETI CAROLINA</t>
  </si>
  <si>
    <t>RODRIGUEZ JIMENEZ MIRIAM ZORAIDA</t>
  </si>
  <si>
    <t>CONSORCIO SAN FERNANDO</t>
  </si>
  <si>
    <t>QUIÑONES BERROSPI JOSE FERNANDO</t>
  </si>
  <si>
    <t>HILARIO ACEVEDO ERIKA JEANETTE</t>
  </si>
  <si>
    <t>ALEJANDRO HUANCA GLADYS NORMA</t>
  </si>
  <si>
    <t>QUIÑONES INGA ISIDRO MAXIMO</t>
  </si>
  <si>
    <t>MACHA ZAPAICO YENI NELIDA</t>
  </si>
  <si>
    <t>SAUNA RODRIGUEZ JAIME MIGUEL</t>
  </si>
  <si>
    <t>PEREZ MELENDEZ ALBERTO</t>
  </si>
  <si>
    <t>AQUINO MORALES ZENAIDA</t>
  </si>
  <si>
    <t>VEGA MAGAN JORGE LUIS</t>
  </si>
  <si>
    <t>ROJAS HUAIRE ZORAIDA GLADYS</t>
  </si>
  <si>
    <t>MARAVI TORRES ANALI ROSAMAR</t>
  </si>
  <si>
    <t>CAMPOSANO MANTURANO PATTY JESSICA</t>
  </si>
  <si>
    <t>ROJAS HUARANGA EVER CELSO</t>
  </si>
  <si>
    <t>INGA REYES JORGE RAIMUNDO</t>
  </si>
  <si>
    <t>GUERRA DAMIAN YINDA YUCY</t>
  </si>
  <si>
    <t>ORDAYA JIMENEZ ROCIO DEL PILAR</t>
  </si>
  <si>
    <t>FERNANDEZ REYES MONICA PELAYA</t>
  </si>
  <si>
    <t>ESCOLA ARAUJO CARLOS</t>
  </si>
  <si>
    <t>---</t>
  </si>
  <si>
    <t>KLM GROUP S.A.C.</t>
  </si>
  <si>
    <t>GUTIERREZ REYES NELLY</t>
  </si>
  <si>
    <t>YALLI ÑAHUI KATTY</t>
  </si>
  <si>
    <t>LOPEZ RAMOS MONICA MARISOL</t>
  </si>
  <si>
    <t>ORDAYA DE CASO PAULINA</t>
  </si>
  <si>
    <t>DAMIAN LLANTO DEMETRIA</t>
  </si>
  <si>
    <t>MALPARTIDA BERNARDO MARIA MERCEDES</t>
  </si>
  <si>
    <t>VILLANUEVA BORJA ROSAMEL</t>
  </si>
  <si>
    <t>ROJAS COLONIO AROL CARLOS</t>
  </si>
  <si>
    <t>ALVA CEPEDA KARLITA EVELYN</t>
  </si>
  <si>
    <t>TAQUIA YAURIVILCA NELLY</t>
  </si>
  <si>
    <t>SISKOTE S.A.C.</t>
  </si>
  <si>
    <t>RAMON RAMOS KENYO DEWITT</t>
  </si>
  <si>
    <t>RAMON RAMOS ZDENEK PHOL</t>
  </si>
  <si>
    <t>MENDOZA COLLACHAGUA JUÁN JORGE</t>
  </si>
  <si>
    <t>INGENIERIA TECNOLOGIA Y EQUIPOS PARA MINERIA EMPRESA INDIVIDUAL DE RESPONSABILIDAD LIMITTADA</t>
  </si>
  <si>
    <t>SANABRIA MATOS ABEL FERNANDO</t>
  </si>
  <si>
    <t>ORE CUICAPUZA SOL JAZMIN</t>
  </si>
  <si>
    <t>ANTESANO CASALLO IRAIDA SONIA</t>
  </si>
  <si>
    <t>LLANA PEREZ CLEBER MANSUETO</t>
  </si>
  <si>
    <t>MENDOZA ESTEBAN GERMAN WALTER</t>
  </si>
  <si>
    <t>TORRES RAMIREZ ROCIO DEL CARMEN</t>
  </si>
  <si>
    <t>ABAD PEREZ ROSA YAJAIRA</t>
  </si>
  <si>
    <t>TRISTAN LAZON ALFREDO</t>
  </si>
  <si>
    <t>INGA CASAS MARLENI DORIS</t>
  </si>
  <si>
    <t>POMAHUALI RICSE LIZ</t>
  </si>
  <si>
    <t>VASQUEZ SICCHA MANUEL OSWALDO</t>
  </si>
  <si>
    <t>CASALLO BAUTISTA NEIRA</t>
  </si>
  <si>
    <t>ROJAS RAMOS AUGUSTO CESAR</t>
  </si>
  <si>
    <t>MEDINA ESPIRITU DE SHUÑA IRMA LUISA</t>
  </si>
  <si>
    <t>BALTAZAR RAMOS RONALD</t>
  </si>
  <si>
    <t>DAMIAN RIVERA WILIAM JUAN</t>
  </si>
  <si>
    <t>HUAIRE INGA FLORENCIO VICENTE</t>
  </si>
  <si>
    <t>JANAMPA TORRES ROLANDO RAUL</t>
  </si>
  <si>
    <t>SALAZAR SALINAS ROCIO YESSI</t>
  </si>
  <si>
    <t>ORDOÑEZ GASPAR SOLEDAD</t>
  </si>
  <si>
    <t>DELGADILLO NAVARRO LIZ JUDYT</t>
  </si>
  <si>
    <t>QUINTO HUAMANTICA CELEDONIA</t>
  </si>
  <si>
    <t>ARTEAGA ORELLANA BASTHIAN ANDRÉ</t>
  </si>
  <si>
    <t>TOCAS LOPEZ JORDIN ANTONI</t>
  </si>
  <si>
    <t>SENOZAIN VILLANUEVA ROSARIO DEL ROCIO</t>
  </si>
  <si>
    <t>ROLDAN ROCHA ELDA ELSA</t>
  </si>
  <si>
    <t>ESTRELLA VEGA HECTOR</t>
  </si>
  <si>
    <t>CABEZAS HUINCHO EDILBERTO</t>
  </si>
  <si>
    <t>YACOLCA CALDERON HUGO GUILLERMO</t>
  </si>
  <si>
    <t>QUILCA RIVEROS MIGUEL EFRAIN</t>
  </si>
  <si>
    <t>RIVERA VELASCO KATHERINE BEATRIZ</t>
  </si>
  <si>
    <t>ESTRADA CORREA ALVARO ERIK</t>
  </si>
  <si>
    <t>SOLIS OBANDO ELSY MARIBEL</t>
  </si>
  <si>
    <t>CERRON INGA JIOMARA ZAYURI</t>
  </si>
  <si>
    <t>GUERRA MUCHA LEYDE JOSSY</t>
  </si>
  <si>
    <t>HUAMAN FERNANDEZ LEYDI NATALIZ</t>
  </si>
  <si>
    <t>SUAREZ ZAPATERO MARCELO</t>
  </si>
  <si>
    <t>BALDEON SANABRIA MIGUEL JUNIOR</t>
  </si>
  <si>
    <t>RAMOS ESTRADA DEMETRIA</t>
  </si>
  <si>
    <t>PALACIOS GARCIA BRENER</t>
  </si>
  <si>
    <t>CERVANTES CORDOVA JORGE OVIDIO</t>
  </si>
  <si>
    <t>CASAS DE LA CRUZ GUDELIA</t>
  </si>
  <si>
    <t>FAUSTINO CHAMORRO MARIA</t>
  </si>
  <si>
    <t>SOTO SALVADOR AMELIDA</t>
  </si>
  <si>
    <t>INVERSIONES CASO E.I.R.L.</t>
  </si>
  <si>
    <t>HUAMAN BARZOLA DORIS MARIBEL</t>
  </si>
  <si>
    <t>RODRIGUEZ PAREDES TULIO</t>
  </si>
  <si>
    <t>LIZANA TORRES OSCAR</t>
  </si>
  <si>
    <t>BLAS CONTRERAS EMILIA</t>
  </si>
  <si>
    <t>GACHA LAVADO WILLIAM</t>
  </si>
  <si>
    <t>VILLARROEL CERVANTES HENRY LUIS</t>
  </si>
  <si>
    <t>RIVEROS FELIX FRANCISCO</t>
  </si>
  <si>
    <t>RUTTI MACUCACHI DEYVIS METODIO</t>
  </si>
  <si>
    <t>ASTO RODRIGUEZ DIUSI LENAR</t>
  </si>
  <si>
    <t>ALIAGA MACHACUAY CESAR LUIS</t>
  </si>
  <si>
    <t>QUINTO CERRON MARIALENA</t>
  </si>
  <si>
    <t>HUAMAN SAMANIEGO PAULINA JUSTA</t>
  </si>
  <si>
    <t>SAMANIEGO CARLOS CELESTINA PRUDENCIA</t>
  </si>
  <si>
    <t>QUIÑONES RUIZ VIDA</t>
  </si>
  <si>
    <t>BARZOLA CRISTOBAL ISAAC CESAR</t>
  </si>
  <si>
    <t>CINELMA S.R.L.</t>
  </si>
  <si>
    <t>RAMOS HUAMANI TORIBIO</t>
  </si>
  <si>
    <t>ATAYPOMA QUICHCA MANUEL</t>
  </si>
  <si>
    <t>HUANAY CACERES FELIPA</t>
  </si>
  <si>
    <t>ROSALES ROSALES MADELEYNE MARISOL</t>
  </si>
  <si>
    <t>NAVARRO MALLMA WALTER OSWALDO</t>
  </si>
  <si>
    <t>ROMAN CASTILLON DARIO</t>
  </si>
  <si>
    <t>CUEVA HUAMAN EDITH MERY</t>
  </si>
  <si>
    <t>BELZUSARRI ROJAS MARINES</t>
  </si>
  <si>
    <t>YUPARI ALMONACID NELVA</t>
  </si>
  <si>
    <t>GONZALES CHIHUAN DANIEL</t>
  </si>
  <si>
    <t>SUAREZ CAMACHO ALFREDO</t>
  </si>
  <si>
    <t>GASPAR REQUENA ELLIA CHAIL</t>
  </si>
  <si>
    <t>ALANYA GAMBOA YULER FELIX</t>
  </si>
  <si>
    <t>NEGOCIACIONES KIRE E.I.R.L.</t>
  </si>
  <si>
    <t>INGA AQUINO MARCELINA</t>
  </si>
  <si>
    <t>ALANIA MARTIN MAGLORIA</t>
  </si>
  <si>
    <t>ROJAS HUANAY FLORA VICTORIA</t>
  </si>
  <si>
    <t>RODRIGUEZ PALACIOS FRANCISCO</t>
  </si>
  <si>
    <t>CLEMENTE SOLANO MARLENY</t>
  </si>
  <si>
    <t>ALIAGA ROJAS NAYELI SARAI</t>
  </si>
  <si>
    <t>BALTAZAR TAIPE JUAN</t>
  </si>
  <si>
    <t>V &amp; V MAQUINARIAS SOCIEDAD ANONIMA CERRADA</t>
  </si>
  <si>
    <t>CONOZCO REYES MELITON ROSEL</t>
  </si>
  <si>
    <t>CANCHARI SUAREZ YANET ELIZABETH</t>
  </si>
  <si>
    <t>DE LA CRUZ DUEÑAS ODILIA</t>
  </si>
  <si>
    <t>CRISPIN FLORES IBHET YHARIZA</t>
  </si>
  <si>
    <t>OSORIO JANAMPA VICTORIA LOURDES</t>
  </si>
  <si>
    <t>CAMPOSANO REYES ZUCY TANIA</t>
  </si>
  <si>
    <t>CANCHUMANYA FERNANDEZ RAUL AMANCIO</t>
  </si>
  <si>
    <t>BELITO LAZARO ANGEL GABRIEL</t>
  </si>
  <si>
    <t>BERNARDO CAMAYO GLORIA GLADYS</t>
  </si>
  <si>
    <t>PEÑA CRUZADA TADEO JHIMY</t>
  </si>
  <si>
    <t>ALBERTO PONCE NINFA FAUSTINA</t>
  </si>
  <si>
    <t>RUIZ NINANYA SAUL WILDER</t>
  </si>
  <si>
    <t>LUIS OSORIO LILIANA FIORELLA</t>
  </si>
  <si>
    <t>ORELLANA MOSCOSO KID SHIRMAN</t>
  </si>
  <si>
    <t>MAYTA HUAMAN THALIA YANETH</t>
  </si>
  <si>
    <t>MARTINEZ MEDINA ANDRES ANTONIO</t>
  </si>
  <si>
    <t>LEYVA CASTRO LIZY MABEL</t>
  </si>
  <si>
    <t>ROJAS TORRES JOSE ELENO</t>
  </si>
  <si>
    <t>ZAMBRANO CANDIOTTI DAVID</t>
  </si>
  <si>
    <t>ESTRELLA MARCELO CESAR RODINGER</t>
  </si>
  <si>
    <t>FERNANDEZ QUISPE VDA DE YARANGA NORMA</t>
  </si>
  <si>
    <t>AQUINO BRUNO SOFIA</t>
  </si>
  <si>
    <t>YARANGA CHAVEZ MIGUEL JOSE</t>
  </si>
  <si>
    <t>BUSTAMANTE CARDENAS GLORIA OLIVIA</t>
  </si>
  <si>
    <t>ESPINOZA CALDERON GUSTAVO ADOLFO</t>
  </si>
  <si>
    <t>AVENDAÑO ROJAS FILDOR</t>
  </si>
  <si>
    <t>RODRIGUEZ GALLARDO MERY VICTORIA</t>
  </si>
  <si>
    <t>CASTILLO ALVARADO CARMEN ROSA</t>
  </si>
  <si>
    <t>OCROSPOMA VILLANUEVA SABINA</t>
  </si>
  <si>
    <t>HUAYAS BRUNO LUZ MARIELA</t>
  </si>
  <si>
    <t>GARCIA RODRIGUEZ ANA MERCEDES</t>
  </si>
  <si>
    <t>ACEVEDO HERRERA KATTY LIZETH</t>
  </si>
  <si>
    <t>VILCHEZ TACZA JENRY WILTON</t>
  </si>
  <si>
    <t>DIAZ QUINTO JUVENAL TEODORO</t>
  </si>
  <si>
    <t>QUISPE ROMAN MARLENY CIRILA</t>
  </si>
  <si>
    <t>ARENAS SANTOS MARLON BRAYAN</t>
  </si>
  <si>
    <t>QUIÑONES AQUINO RITHA</t>
  </si>
  <si>
    <t>QUISPE QUISPE MARLENY</t>
  </si>
  <si>
    <t>CHUMBE ZAVALA DANTE MICHELL</t>
  </si>
  <si>
    <t>GOMEZ ARREDONDO YOMIRA MARYORI</t>
  </si>
  <si>
    <t>MACHA CALIXTO JACINTA</t>
  </si>
  <si>
    <t>LEON VASQUEZ JOSE</t>
  </si>
  <si>
    <t>SALVADOR MACHA NELIDA</t>
  </si>
  <si>
    <t>CASALLO BASTIDAS ALICIA</t>
  </si>
  <si>
    <t>HUAYLLANI CASTILLARES JANNET</t>
  </si>
  <si>
    <t>DAMIAN GARAY GABRIEL</t>
  </si>
  <si>
    <t>VASQUEZ ESPIRITU MARCO ANTONIO</t>
  </si>
  <si>
    <t>QUIÑONES DAMIAN VICTOR</t>
  </si>
  <si>
    <t>AQUINO MACHA PAULINA</t>
  </si>
  <si>
    <t>CANGAHUALA TACZA DE RAMOS BIVIANA OLIMPIA</t>
  </si>
  <si>
    <t>REDONDEZ VELARDE WILMER</t>
  </si>
  <si>
    <t>SARMIENTO MATAMOROS GROVER</t>
  </si>
  <si>
    <t>VALENCIA ANTONIO BLACIDA FLAVIA</t>
  </si>
  <si>
    <t>RICCE VERASTEGUI CARMEN</t>
  </si>
  <si>
    <t>HUAMAN SOTOMAYOR LUIS MANOLO</t>
  </si>
  <si>
    <t>LLIGUA NESTAREZ JOHN DEYBIT JAMES</t>
  </si>
  <si>
    <t>CARDENAS ORDOÑEZ ROBERTO MISAEL</t>
  </si>
  <si>
    <t>CRIOLLO LUDEÑA ABDON</t>
  </si>
  <si>
    <t>GAVINO ORIHUELA LIZ CATTY</t>
  </si>
  <si>
    <t>CUEVA MACHA PEPE AMADOR</t>
  </si>
  <si>
    <t>DE LA CRUZ RAMOS ESTHER</t>
  </si>
  <si>
    <t>MORALES TORIBIO ANGELICA TEODOLINDA</t>
  </si>
  <si>
    <t>LIMACO LEYVA LIZ MARIBEL</t>
  </si>
  <si>
    <t>SEDANO ASTETE LOYOLA</t>
  </si>
  <si>
    <t>VASQUEZ ARROYO JHON WILLIAM</t>
  </si>
  <si>
    <t>SAIME CURO SAUL</t>
  </si>
  <si>
    <t>ROSALES CANCHANYA SEVERO</t>
  </si>
  <si>
    <t>PARIONA LIZARRAGA ROSALINDA FLOR</t>
  </si>
  <si>
    <t>VILLALOBOS VASQUEZ KEYLA SARAHI</t>
  </si>
  <si>
    <t>LUNA YAURI ULDARICO</t>
  </si>
  <si>
    <t>ALVARADO RETTO CECILIA ISABEL</t>
  </si>
  <si>
    <t>CENTENO VELASQUEZ SANDINO</t>
  </si>
  <si>
    <t>CAMAYO CAMAYO VILMA</t>
  </si>
  <si>
    <t>VALDEZ SILVESTRE MIRIAM MARGOTH</t>
  </si>
  <si>
    <t>ARTICA MERCADO BERTHA</t>
  </si>
  <si>
    <t>JULCAMANYAN MAYTA MIRIAM JACKELINE</t>
  </si>
  <si>
    <t>MURGA DELGADILLO ROSA LUZ</t>
  </si>
  <si>
    <t>MERCADO PALACIOS AMALIA ERNESTINA</t>
  </si>
  <si>
    <t>COZ OLIVAS JHON DIOMEDES</t>
  </si>
  <si>
    <t>SOTO ORDOÑEZ BEATRIZ YOLANDA</t>
  </si>
  <si>
    <t>SEGOVIA HERQUINIGO MARCO ANTONIO</t>
  </si>
  <si>
    <t>TAIPE HUAMAN JAN FRANKLIN</t>
  </si>
  <si>
    <t>VASQUEZ LIMA DE MAURI VICTORIA</t>
  </si>
  <si>
    <t>ZEGARRA PAPUICO LUIS CARLOS</t>
  </si>
  <si>
    <t>INGA DAMIAN DE PALOMINO ELVA MAGDALENA</t>
  </si>
  <si>
    <t>TORIBIO SALCEDO ALEX EUDES</t>
  </si>
  <si>
    <t>ALVAREZ DE HUAYNALAYA RAIDA</t>
  </si>
  <si>
    <t>MARCOS SALAS TEODORA</t>
  </si>
  <si>
    <t>GABRIEL VARGAS SONIA</t>
  </si>
  <si>
    <t>GÜERE AGUILAR LOURDES BEATRIZ</t>
  </si>
  <si>
    <t>CONDOR BAQUERIZO GLADYS ERIKA</t>
  </si>
  <si>
    <t>INVERSIONES CRGV S.R.L.</t>
  </si>
  <si>
    <t>OSCANOA CABRERA KAROL ALEXANDRA</t>
  </si>
  <si>
    <t>ROMERO ACEVEDO MACEDONIO</t>
  </si>
  <si>
    <t>TRACTO LEO IMPORT S.A.C.</t>
  </si>
  <si>
    <t>VELIZ FLORES MARITZA MELISSA</t>
  </si>
  <si>
    <t>PARRA MIGUEL LADY LUISA</t>
  </si>
  <si>
    <t>CHIPANA ZACARIAS JULIA ELISEA</t>
  </si>
  <si>
    <t>BASUALDO PAYANO FERMINA</t>
  </si>
  <si>
    <t>FABIAN ZEVALLOS EDISON ALBERTO</t>
  </si>
  <si>
    <t>VILLANUEVA SANTAMARIA SONIA</t>
  </si>
  <si>
    <t>ESPINOZA CADENA ANABEL NORA</t>
  </si>
  <si>
    <t>LLACUACHAQUI ISIDRO LIZBET SHEYLA</t>
  </si>
  <si>
    <t>JANAMPA TORRES JORGE LUIS</t>
  </si>
  <si>
    <t>VELASQUEZ CLEMENTE GABRIELA ESTELA</t>
  </si>
  <si>
    <t>ROJAS MATAMOROS YAIR ERIKC</t>
  </si>
  <si>
    <t>LANDA ASTUHUAMAN DE YARASCA FELIPA</t>
  </si>
  <si>
    <t>REPRESENTACIONES V Y E IMPORT EXPORT S.R.L.</t>
  </si>
  <si>
    <t>CUNYAS ENRIQUEZ ELIAS TOLOMEO</t>
  </si>
  <si>
    <t>MAYHUA REYMUNDO WILDER</t>
  </si>
  <si>
    <t>MOROQUILCA LIZANA EUSEBIO</t>
  </si>
  <si>
    <t>ROSALES ALMIDON WILSER</t>
  </si>
  <si>
    <t>DAMIAN TOCAS FITINOL</t>
  </si>
  <si>
    <t>CAIRAMPOMA DE LA O LUIS ARMANDO</t>
  </si>
  <si>
    <t>QUIÑONES DAMIAN MELECIO</t>
  </si>
  <si>
    <t>CHOQUE TAIPE JACQUELIN MELCHORA</t>
  </si>
  <si>
    <t>CASTRO CANGALAYA OMAR IVAN</t>
  </si>
  <si>
    <t>EGOAVIL ROMERO YOVISA PILAR</t>
  </si>
  <si>
    <t>HUAQUI ROCA RAQUEL PAMELA</t>
  </si>
  <si>
    <t>IQBAL  MAJID</t>
  </si>
  <si>
    <t>MACHA SAMANIEGO EDYT CRYST</t>
  </si>
  <si>
    <t>BENITO CONDORI ABEL CESAR</t>
  </si>
  <si>
    <t>JORGE EGOAVIL JULIA MAXIMA</t>
  </si>
  <si>
    <t>HUAYNALAYA ALVAREZ SAMUEL</t>
  </si>
  <si>
    <t>PERALTA CHACA CESAR JOEL</t>
  </si>
  <si>
    <t>TINOCO MORA JORGE EDWIN</t>
  </si>
  <si>
    <t>RAMOS ZEVALLOS ELOY</t>
  </si>
  <si>
    <t>ARZAPALO SANCHEZ JHONATAN MAKENCY</t>
  </si>
  <si>
    <t>SANCHEZ RAMOS JOSE LUIS</t>
  </si>
  <si>
    <t>LIMAYLLA HORMAZA JHOJANA MADELEINE</t>
  </si>
  <si>
    <t>MACHA VERASTEGUI INES</t>
  </si>
  <si>
    <t>CALIXTO MAURICIO ELIZABETH GEORGINA</t>
  </si>
  <si>
    <t>HUICHO COTERA ERICSSON PERCY</t>
  </si>
  <si>
    <t>HUAMAN CAMAYO ESTELA BERTHA</t>
  </si>
  <si>
    <t>ARCHI MACHA SHAMERI LUZ</t>
  </si>
  <si>
    <t>PORRAS HUAMAN ARAZZELY ROSARIO</t>
  </si>
  <si>
    <t>CORONEL ESPINOZA DAVID MACARIO</t>
  </si>
  <si>
    <t>DAMIANO GARFIAS ESAU</t>
  </si>
  <si>
    <t>S</t>
  </si>
  <si>
    <t>CON</t>
  </si>
  <si>
    <t>CAR SUNAT</t>
  </si>
  <si>
    <t>Fecha de emisión</t>
  </si>
  <si>
    <t>Fecha Vcto/Pago</t>
  </si>
  <si>
    <t>Tipo CP/Doc.</t>
  </si>
  <si>
    <t>Serie del CDP</t>
  </si>
  <si>
    <t>Nro CP o Doc. Nro Inicial (Rango)</t>
  </si>
  <si>
    <t>Nro Final (Rango)</t>
  </si>
  <si>
    <t>Tipo Doc Identidad</t>
  </si>
  <si>
    <t>Nro Doc Identidad</t>
  </si>
  <si>
    <t>Apellidos Nombres/ Razón Social</t>
  </si>
  <si>
    <t>Valor Facturado Exportación</t>
  </si>
  <si>
    <t>BI Gravada</t>
  </si>
  <si>
    <t>Dscto BI</t>
  </si>
  <si>
    <t>IGV / IPM</t>
  </si>
  <si>
    <t>Dscto IGV / IPM</t>
  </si>
  <si>
    <t>Mto Exonerado</t>
  </si>
  <si>
    <t>Mto Inafecto</t>
  </si>
  <si>
    <t>BI Grav IVAP</t>
  </si>
  <si>
    <t>IVAP</t>
  </si>
  <si>
    <t>ICBPER</t>
  </si>
  <si>
    <t>Otros Tributos</t>
  </si>
  <si>
    <t>Total CP</t>
  </si>
  <si>
    <t>Moneda</t>
  </si>
  <si>
    <t>Tipo Cambio</t>
  </si>
  <si>
    <t>Fecha Emisión Doc Modificado</t>
  </si>
  <si>
    <t>Tipo CP Modificado</t>
  </si>
  <si>
    <t>Serie CP Modificado</t>
  </si>
  <si>
    <t>Nro CP Modificado</t>
  </si>
  <si>
    <t>ID Proyecto Operadores Atribución</t>
  </si>
  <si>
    <t>Tipo de Nota</t>
  </si>
  <si>
    <t>Est. Comp</t>
  </si>
  <si>
    <t>Valor FOB Embarcado</t>
  </si>
  <si>
    <t>Valor OP Gratuitas</t>
  </si>
  <si>
    <t>Tipo Operación</t>
  </si>
  <si>
    <t>DAM / CP</t>
  </si>
  <si>
    <t>CLU</t>
  </si>
  <si>
    <t>2060839155103B0010000031405</t>
  </si>
  <si>
    <t>PEN</t>
  </si>
  <si>
    <t>2060839155103B0010000031406</t>
  </si>
  <si>
    <t>2060839155103B0010000031407</t>
  </si>
  <si>
    <t>2060839155103B0010000031408</t>
  </si>
  <si>
    <t>2060839155103B0010000031409</t>
  </si>
  <si>
    <t>2060839155103B0010000031410</t>
  </si>
  <si>
    <t>2060839155103B0010000031411</t>
  </si>
  <si>
    <t>2060839155103B0010000031412</t>
  </si>
  <si>
    <t>2060839155103B0010000031413</t>
  </si>
  <si>
    <t>2060839155103B0010000031414</t>
  </si>
  <si>
    <t>2060839155103B0010000031415</t>
  </si>
  <si>
    <t>2060839155103B0010000031416</t>
  </si>
  <si>
    <t>2060839155103B0010000031417</t>
  </si>
  <si>
    <t>2060839155103B0010000031418</t>
  </si>
  <si>
    <t>2060839155103B0010000031419</t>
  </si>
  <si>
    <t>2060839155103B0010000031420</t>
  </si>
  <si>
    <t>2060839155103B0010000031421</t>
  </si>
  <si>
    <t>2060839155103B0010000031422</t>
  </si>
  <si>
    <t>2060839155103B0010000031423</t>
  </si>
  <si>
    <t>2060839155103B0010000031424</t>
  </si>
  <si>
    <t>2060839155103B0010000031425</t>
  </si>
  <si>
    <t>2060839155103B0010000031426</t>
  </si>
  <si>
    <t>2060839155103B0010000031427</t>
  </si>
  <si>
    <t>2060839155103B0010000031428</t>
  </si>
  <si>
    <t>2060839155103B0010000031429</t>
  </si>
  <si>
    <t>2060839155103B0010000031430</t>
  </si>
  <si>
    <t>2060839155103B0010000031431</t>
  </si>
  <si>
    <t>2060839155103B0010000031432</t>
  </si>
  <si>
    <t>2060839155103B0010000031433</t>
  </si>
  <si>
    <t>2060839155103B0010000031434</t>
  </si>
  <si>
    <t>2060839155103B0010000031435</t>
  </si>
  <si>
    <t>2060839155103B0010000031436</t>
  </si>
  <si>
    <t>2060839155103B0010000031437</t>
  </si>
  <si>
    <t>2060839155103B0010000031438</t>
  </si>
  <si>
    <t>2060839155103B0010000031439</t>
  </si>
  <si>
    <t>2060839155103B0010000031440</t>
  </si>
  <si>
    <t>2060839155103B0010000031441</t>
  </si>
  <si>
    <t>2060839155103B0010000031442</t>
  </si>
  <si>
    <t>2060839155103B0010000031443</t>
  </si>
  <si>
    <t>2060839155103B0010000031445</t>
  </si>
  <si>
    <t>2060839155103B0010000031446</t>
  </si>
  <si>
    <t>2060839155103B0010000031447</t>
  </si>
  <si>
    <t>2060839155103B0010000031448</t>
  </si>
  <si>
    <t>2060839155103B0010000031449</t>
  </si>
  <si>
    <t>2060839155103B0010000031450</t>
  </si>
  <si>
    <t>2060839155103B0010000031451</t>
  </si>
  <si>
    <t>2060839155103B0010000031453</t>
  </si>
  <si>
    <t>2060839155103B0010000031454</t>
  </si>
  <si>
    <t>2060839155103B0010000031455</t>
  </si>
  <si>
    <t>2060839155103B0010000031456</t>
  </si>
  <si>
    <t>2060839155103B0010000031457</t>
  </si>
  <si>
    <t>2060839155103B0010000031458</t>
  </si>
  <si>
    <t>2060839155103B0010000031459</t>
  </si>
  <si>
    <t>2060839155103B0010000031460</t>
  </si>
  <si>
    <t>2060839155103B0010000031461</t>
  </si>
  <si>
    <t>2060839155103B0010000031462</t>
  </si>
  <si>
    <t>2060839155103B0010000031463</t>
  </si>
  <si>
    <t>2060839155103B0010000031464</t>
  </si>
  <si>
    <t>2060839155103B0010000031465</t>
  </si>
  <si>
    <t>2060839155103B0010000031466</t>
  </si>
  <si>
    <t>2060839155103B0010000031467</t>
  </si>
  <si>
    <t>2060839155103B0010000031468</t>
  </si>
  <si>
    <t>2060839155103B0010000031469</t>
  </si>
  <si>
    <t>2060839155103B0010000031470</t>
  </si>
  <si>
    <t>2060839155103B0010000031471</t>
  </si>
  <si>
    <t>2060839155103B0010000031472</t>
  </si>
  <si>
    <t>2060839155103B0010000031474</t>
  </si>
  <si>
    <t>2060839155103B0010000031475</t>
  </si>
  <si>
    <t>2060839155103B0010000031476</t>
  </si>
  <si>
    <t>2060839155103B0010000031477</t>
  </si>
  <si>
    <t>2060839155103B0010000031478</t>
  </si>
  <si>
    <t>2060839155103B0010000031481</t>
  </si>
  <si>
    <t>2060839155103B0010000031482</t>
  </si>
  <si>
    <t>2060839155103B0010000031483</t>
  </si>
  <si>
    <t>2060839155103B0010000031473</t>
  </si>
  <si>
    <t>2060839155103B0010000031480</t>
  </si>
  <si>
    <t>2060839155103B0010000031479</t>
  </si>
  <si>
    <t>2060839155103B0010000031484</t>
  </si>
  <si>
    <t>2060839155103B0010000031485</t>
  </si>
  <si>
    <t>2060839155103B0010000031486</t>
  </si>
  <si>
    <t>2060839155103B0010000031488</t>
  </si>
  <si>
    <t>2060839155103B0010000031489</t>
  </si>
  <si>
    <t>2060839155103B0010000031490</t>
  </si>
  <si>
    <t>2060839155103B0010000031491</t>
  </si>
  <si>
    <t>2060839155103B0010000031492</t>
  </si>
  <si>
    <t>2060839155103B0010000031493</t>
  </si>
  <si>
    <t>2060839155103B0010000031494</t>
  </si>
  <si>
    <t>2060839155103B0010000031496</t>
  </si>
  <si>
    <t>2060839155103B0010000031497</t>
  </si>
  <si>
    <t>2060839155103B0010000031498</t>
  </si>
  <si>
    <t>2060839155103B0010000031499</t>
  </si>
  <si>
    <t>2060839155103B0010000031500</t>
  </si>
  <si>
    <t>2060839155103B0010000031501</t>
  </si>
  <si>
    <t>2060839155103B0010000031502</t>
  </si>
  <si>
    <t>2060839155103B0010000031503</t>
  </si>
  <si>
    <t>2060839155103B0010000031504</t>
  </si>
  <si>
    <t>2060839155103B0010000031505</t>
  </si>
  <si>
    <t>2060839155103B0010000031506</t>
  </si>
  <si>
    <t>2060839155103B0010000031507</t>
  </si>
  <si>
    <t>2060839155103B0010000031508</t>
  </si>
  <si>
    <t>2060839155103B0010000031509</t>
  </si>
  <si>
    <t>2060839155103B0010000031510</t>
  </si>
  <si>
    <t>2060839155103B0010000031511</t>
  </si>
  <si>
    <t>2060839155103B0010000031512</t>
  </si>
  <si>
    <t>2060839155103B0010000031513</t>
  </si>
  <si>
    <t>2060839155103B0010000031514</t>
  </si>
  <si>
    <t>2060839155103B0010000031515</t>
  </si>
  <si>
    <t>2060839155103B0010000031516</t>
  </si>
  <si>
    <t>2060839155103B0010000031518</t>
  </si>
  <si>
    <t>2060839155103B0010000031519</t>
  </si>
  <si>
    <t>2060839155103B0010000031520</t>
  </si>
  <si>
    <t>2060839155103B0010000031521</t>
  </si>
  <si>
    <t>2060839155103B0010000031522</t>
  </si>
  <si>
    <t>2060839155103B0010000031523</t>
  </si>
  <si>
    <t>2060839155103B0010000031524</t>
  </si>
  <si>
    <t>2060839155103B0010000031525</t>
  </si>
  <si>
    <t>2060839155103B0010000031526</t>
  </si>
  <si>
    <t>2060839155103B0010000031527</t>
  </si>
  <si>
    <t>2060839155103B0010000031528</t>
  </si>
  <si>
    <t>2060839155103B0010000031529</t>
  </si>
  <si>
    <t>2060839155103B0010000031530</t>
  </si>
  <si>
    <t>2060839155103B0010000031531</t>
  </si>
  <si>
    <t>2060839155103B0010000031532</t>
  </si>
  <si>
    <t>2060839155103B0010000031533</t>
  </si>
  <si>
    <t>2060839155103B0010000031534</t>
  </si>
  <si>
    <t>2060839155103B0010000031535</t>
  </si>
  <si>
    <t>2060839155103B0010000031536</t>
  </si>
  <si>
    <t>2060839155103B0010000031537</t>
  </si>
  <si>
    <t>2060839155103B0010000031538</t>
  </si>
  <si>
    <t>2060839155103B0010000031539</t>
  </si>
  <si>
    <t>2060839155103B0010000031540</t>
  </si>
  <si>
    <t>2060839155103B0010000031541</t>
  </si>
  <si>
    <t>2060839155103B0010000031542</t>
  </si>
  <si>
    <t>2060839155103B0010000031543</t>
  </si>
  <si>
    <t>2060839155103B0010000031544</t>
  </si>
  <si>
    <t>2060839155103B0010000031545</t>
  </si>
  <si>
    <t>2060839155103B0010000031546</t>
  </si>
  <si>
    <t>2060839155103B0010000031547</t>
  </si>
  <si>
    <t>2060839155103B0010000031548</t>
  </si>
  <si>
    <t>2060839155103B0010000031549</t>
  </si>
  <si>
    <t>2060839155103B0010000031550</t>
  </si>
  <si>
    <t>2060839155103B0010000031551</t>
  </si>
  <si>
    <t>2060839155103B0010000031552</t>
  </si>
  <si>
    <t>2060839155103B0010000031554</t>
  </si>
  <si>
    <t>2060839155103B0010000031555</t>
  </si>
  <si>
    <t>2060839155103B0010000031556</t>
  </si>
  <si>
    <t>2060839155103B0010000031557</t>
  </si>
  <si>
    <t>2060839155103B0010000031558</t>
  </si>
  <si>
    <t>2060839155103B0010000031559</t>
  </si>
  <si>
    <t>2060839155103B0010000031560</t>
  </si>
  <si>
    <t>2060839155103B0010000031561</t>
  </si>
  <si>
    <t>2060839155103B0010000031562</t>
  </si>
  <si>
    <t>2060839155103B0010000031563</t>
  </si>
  <si>
    <t>2060839155103B0010000031564</t>
  </si>
  <si>
    <t>2060839155103B0010000031565</t>
  </si>
  <si>
    <t>2060839155103B0010000031566</t>
  </si>
  <si>
    <t>2060839155103B0010000031569</t>
  </si>
  <si>
    <t>2060839155103B0010000031570</t>
  </si>
  <si>
    <t>2060839155103B0010000031572</t>
  </si>
  <si>
    <t>2060839155103B0010000031573</t>
  </si>
  <si>
    <t>2060839155103B0010000031574</t>
  </si>
  <si>
    <t>2060839155103B0010000031575</t>
  </si>
  <si>
    <t>2060839155103B0010000031576</t>
  </si>
  <si>
    <t>2060839155103B0010000031571</t>
  </si>
  <si>
    <t>2060839155103B0010000031577</t>
  </si>
  <si>
    <t>2060839155103B0010000031578</t>
  </si>
  <si>
    <t>2060839155103B0010000031579</t>
  </si>
  <si>
    <t>2060839155103B0010000031580</t>
  </si>
  <si>
    <t>2060839155103B0010000031581</t>
  </si>
  <si>
    <t>2060839155103B0010000031582</t>
  </si>
  <si>
    <t>2060839155103B0010000031583</t>
  </si>
  <si>
    <t>2060839155103B0010000031584</t>
  </si>
  <si>
    <t>2060839155107BC010000000157</t>
  </si>
  <si>
    <t>2060839155103B0010000031585</t>
  </si>
  <si>
    <t>2060839155103B0010000031586</t>
  </si>
  <si>
    <t>2060839155103B0010000031587</t>
  </si>
  <si>
    <t>2060839155103B0010000031588</t>
  </si>
  <si>
    <t>2060839155103B0010000031589</t>
  </si>
  <si>
    <t>2060839155103B0010000031590</t>
  </si>
  <si>
    <t>2060839155103B0010000031591</t>
  </si>
  <si>
    <t>2060839155103B0010000031592</t>
  </si>
  <si>
    <t>2060839155103B0010000031593</t>
  </si>
  <si>
    <t>2060839155103B0010000031594</t>
  </si>
  <si>
    <t>2060839155103B0010000031595</t>
  </si>
  <si>
    <t>2060839155103B0010000031596</t>
  </si>
  <si>
    <t>2060839155103B0010000031597</t>
  </si>
  <si>
    <t>2060839155103B0010000031599</t>
  </si>
  <si>
    <t>2060839155103B0010000031600</t>
  </si>
  <si>
    <t>2060839155103B0010000031601</t>
  </si>
  <si>
    <t>2060839155103B0010000031602</t>
  </si>
  <si>
    <t>2060839155103B0010000031603</t>
  </si>
  <si>
    <t>2060839155103B0010000031604</t>
  </si>
  <si>
    <t>2060839155107BC010000000158</t>
  </si>
  <si>
    <t>2060839155103B0010000031605</t>
  </si>
  <si>
    <t>2060839155103B0010000031606</t>
  </si>
  <si>
    <t>2060839155103B0010000031607</t>
  </si>
  <si>
    <t>2060839155103B0010000031608</t>
  </si>
  <si>
    <t>2060839155103B0010000031609</t>
  </si>
  <si>
    <t>2060839155103B0010000031610</t>
  </si>
  <si>
    <t>2060839155103B0010000031611</t>
  </si>
  <si>
    <t>2060839155103B0010000031612</t>
  </si>
  <si>
    <t>2060839155103B0010000031613</t>
  </si>
  <si>
    <t>2060839155103B0010000031614</t>
  </si>
  <si>
    <t>2060839155103B0010000031616</t>
  </si>
  <si>
    <t>2060839155103B0010000031617</t>
  </si>
  <si>
    <t>2060839155103B0010000031618</t>
  </si>
  <si>
    <t>2060839155103B0010000031615</t>
  </si>
  <si>
    <t>2060839155103B0010000031619</t>
  </si>
  <si>
    <t>2060839155103B0010000031620</t>
  </si>
  <si>
    <t>2060839155103B0010000031621</t>
  </si>
  <si>
    <t>2060839155103B0010000031622</t>
  </si>
  <si>
    <t>2060839155103B0010000031623</t>
  </si>
  <si>
    <t>2060839155103B0010000031624</t>
  </si>
  <si>
    <t>2060839155103B0010000031625</t>
  </si>
  <si>
    <t>2060839155103B0010000031626</t>
  </si>
  <si>
    <t>2060839155103B0010000031627</t>
  </si>
  <si>
    <t>2060839155103B0010000031628</t>
  </si>
  <si>
    <t>2060839155103B0010000031629</t>
  </si>
  <si>
    <t>2060839155103B0010000031630</t>
  </si>
  <si>
    <t>2060839155103B0010000031631</t>
  </si>
  <si>
    <t>2060839155103B0010000031632</t>
  </si>
  <si>
    <t>2060839155103B0010000031633</t>
  </si>
  <si>
    <t>2060839155103B0010000031634</t>
  </si>
  <si>
    <t>2060839155103B0010000031635</t>
  </si>
  <si>
    <t>2060839155103B0010000031636</t>
  </si>
  <si>
    <t>2060839155103B0010000031637</t>
  </si>
  <si>
    <t>2060839155103B0010000031639</t>
  </si>
  <si>
    <t>2060839155103B0010000031640</t>
  </si>
  <si>
    <t>2060839155103B0010000031641</t>
  </si>
  <si>
    <t>2060839155103B0010000031642</t>
  </si>
  <si>
    <t>2060839155103B0010000031643</t>
  </si>
  <si>
    <t>2060839155103B0010000031644</t>
  </si>
  <si>
    <t>2060839155103B0010000031645</t>
  </si>
  <si>
    <t>2060839155103B0010000031646</t>
  </si>
  <si>
    <t>2060839155103B0010000031647</t>
  </si>
  <si>
    <t>2060839155103B0010000031648</t>
  </si>
  <si>
    <t>2060839155103B0010000031649</t>
  </si>
  <si>
    <t>2060839155103B0010000031650</t>
  </si>
  <si>
    <t>2060839155103B0010000031651</t>
  </si>
  <si>
    <t>2060839155103B0010000031652</t>
  </si>
  <si>
    <t>2060839155103B0010000031653</t>
  </si>
  <si>
    <t>2060839155103B0010000031655</t>
  </si>
  <si>
    <t>2060839155103B0010000031656</t>
  </si>
  <si>
    <t>2060839155103B0010000031657</t>
  </si>
  <si>
    <t>2060839155107BC010000000159</t>
  </si>
  <si>
    <t>2060839155103B0010000031658</t>
  </si>
  <si>
    <t>2060839155103B0010000031659</t>
  </si>
  <si>
    <t>2060839155103B0010000031660</t>
  </si>
  <si>
    <t>2060839155103B0010000031661</t>
  </si>
  <si>
    <t>2060839155103B0010000031662</t>
  </si>
  <si>
    <t>2060839155103B0010000031663</t>
  </si>
  <si>
    <t>2060839155103B0010000031664</t>
  </si>
  <si>
    <t>2060839155103B0010000031665</t>
  </si>
  <si>
    <t>2060839155103B0010000031666</t>
  </si>
  <si>
    <t>2060839155103B0010000031667</t>
  </si>
  <si>
    <t>2060839155103B0010000031668</t>
  </si>
  <si>
    <t>2060839155103B0010000031669</t>
  </si>
  <si>
    <t>2060839155103B0010000031670</t>
  </si>
  <si>
    <t>2060839155103B0010000031671</t>
  </si>
  <si>
    <t>2060839155103B0010000031672</t>
  </si>
  <si>
    <t>2060839155103B0010000031673</t>
  </si>
  <si>
    <t>2060839155103B0010000031674</t>
  </si>
  <si>
    <t>2060839155103B0010000031675</t>
  </si>
  <si>
    <t>2060839155103B0010000031676</t>
  </si>
  <si>
    <t>2060839155103B0010000031677</t>
  </si>
  <si>
    <t>2060839155103B0010000031678</t>
  </si>
  <si>
    <t>2060839155103B0010000031679</t>
  </si>
  <si>
    <t>2060839155103B0010000031680</t>
  </si>
  <si>
    <t>2060839155103B0010000031681</t>
  </si>
  <si>
    <t>2060839155103B0010000031682</t>
  </si>
  <si>
    <t>2060839155103B0010000031683</t>
  </si>
  <si>
    <t>2060839155103B0010000031684</t>
  </si>
  <si>
    <t>2060839155103B0010000031685</t>
  </si>
  <si>
    <t>2060839155103B0010000031686</t>
  </si>
  <si>
    <t>2060839155103B0010000031687</t>
  </si>
  <si>
    <t>2060839155103B0010000031688</t>
  </si>
  <si>
    <t>2060839155103B0010000031689</t>
  </si>
  <si>
    <t>2060839155103B0010000031690</t>
  </si>
  <si>
    <t>2060839155103B0010000031691</t>
  </si>
  <si>
    <t>2060839155103B0010000031692</t>
  </si>
  <si>
    <t>2060839155103B0010000031693</t>
  </si>
  <si>
    <t>2060839155103B0010000031694</t>
  </si>
  <si>
    <t>2060839155103B0010000031695</t>
  </si>
  <si>
    <t>2060839155103B0010000031696</t>
  </si>
  <si>
    <t>2060839155103B0010000031697</t>
  </si>
  <si>
    <t>2060839155103B0010000031698</t>
  </si>
  <si>
    <t>2060839155103B0010000031699</t>
  </si>
  <si>
    <t>2060839155103B0010000031700</t>
  </si>
  <si>
    <t>2060839155103B0010000031701</t>
  </si>
  <si>
    <t>2060839155103B0010000031702</t>
  </si>
  <si>
    <t>2060839155103B0010000031703</t>
  </si>
  <si>
    <t>2060839155103B0010000031704</t>
  </si>
  <si>
    <t>2060839155103B0010000031705</t>
  </si>
  <si>
    <t>2060839155103B0010000031706</t>
  </si>
  <si>
    <t>2060839155103B0010000031707</t>
  </si>
  <si>
    <t>2060839155103B0010000031708</t>
  </si>
  <si>
    <t>2060839155103B0010000031709</t>
  </si>
  <si>
    <t>2060839155103B0010000031710</t>
  </si>
  <si>
    <t>2060839155103B0010000031711</t>
  </si>
  <si>
    <t>2060839155103B0010000031712</t>
  </si>
  <si>
    <t>2060839155103B0010000031713</t>
  </si>
  <si>
    <t>2060839155103B0010000031714</t>
  </si>
  <si>
    <t>2060839155103B0010000031715</t>
  </si>
  <si>
    <t>2060839155103B0010000031716</t>
  </si>
  <si>
    <t>2060839155103B0010000031717</t>
  </si>
  <si>
    <t>2060839155103B0010000031718</t>
  </si>
  <si>
    <t>2060839155103B0010000031719</t>
  </si>
  <si>
    <t>2060839155103B0010000031720</t>
  </si>
  <si>
    <t>2060839155103B0010000031721</t>
  </si>
  <si>
    <t>2060839155103B0010000031722</t>
  </si>
  <si>
    <t>2060839155103B0010000031723</t>
  </si>
  <si>
    <t>2060839155103B0010000031724</t>
  </si>
  <si>
    <t>2060839155103B0010000031725</t>
  </si>
  <si>
    <t>2060839155103B0010000031726</t>
  </si>
  <si>
    <t>2060839155103B0010000031727</t>
  </si>
  <si>
    <t>2060839155103B0010000031728</t>
  </si>
  <si>
    <t>2060839155103B0010000031729</t>
  </si>
  <si>
    <t>2060839155103B0010000031730</t>
  </si>
  <si>
    <t>2060839155103B0010000031731</t>
  </si>
  <si>
    <t>2060839155103B0010000031732</t>
  </si>
  <si>
    <t>2060839155107BC010000000160</t>
  </si>
  <si>
    <t>2060839155103B0010000031733</t>
  </si>
  <si>
    <t>2060839155103B0010000031734</t>
  </si>
  <si>
    <t>2060839155103B0010000031735</t>
  </si>
  <si>
    <t>2060839155103B0010000031736</t>
  </si>
  <si>
    <t>2060839155103B0010000031737</t>
  </si>
  <si>
    <t>2060839155103B0010000031738</t>
  </si>
  <si>
    <t>2060839155103B0010000031739</t>
  </si>
  <si>
    <t>2060839155103B0010000031740</t>
  </si>
  <si>
    <t>2060839155103B0010000031741</t>
  </si>
  <si>
    <t>2060839155103B0010000031742</t>
  </si>
  <si>
    <t>2060839155103B0010000031743</t>
  </si>
  <si>
    <t>2060839155103B0010000031744</t>
  </si>
  <si>
    <t>2060839155103B0010000031745</t>
  </si>
  <si>
    <t>2060839155103B0010000031746</t>
  </si>
  <si>
    <t>2060839155103B0010000031747</t>
  </si>
  <si>
    <t>2060839155103B0010000031748</t>
  </si>
  <si>
    <t>2060839155103B0010000031749</t>
  </si>
  <si>
    <t>2060839155103B0010000031750</t>
  </si>
  <si>
    <t>2060839155103B0010000031751</t>
  </si>
  <si>
    <t>2060839155103B0010000031752</t>
  </si>
  <si>
    <t>2060839155103B0010000031753</t>
  </si>
  <si>
    <t>2060839155103B0010000031754</t>
  </si>
  <si>
    <t>2060839155103B0010000031755</t>
  </si>
  <si>
    <t>2060839155103B0010000031756</t>
  </si>
  <si>
    <t>2060839155103B0010000031757</t>
  </si>
  <si>
    <t>2060839155107BC010000000161</t>
  </si>
  <si>
    <t>2060839155103B0010000031758</t>
  </si>
  <si>
    <t>2060839155103B0010000031759</t>
  </si>
  <si>
    <t>2060839155103B0010000031760</t>
  </si>
  <si>
    <t>2060839155103B0010000031761</t>
  </si>
  <si>
    <t>2060839155103B0010000031762</t>
  </si>
  <si>
    <t>2060839155103B0010000031763</t>
  </si>
  <si>
    <t>2060839155103B0010000031764</t>
  </si>
  <si>
    <t>2060839155103B0010000031766</t>
  </si>
  <si>
    <t>2060839155103B0010000031767</t>
  </si>
  <si>
    <t>2060839155103B0010000031768</t>
  </si>
  <si>
    <t>2060839155103B0010000031769</t>
  </si>
  <si>
    <t>2060839155103B0010000031770</t>
  </si>
  <si>
    <t>2060839155107BC010000000162</t>
  </si>
  <si>
    <t>2060839155103B0010000031771</t>
  </si>
  <si>
    <t>2060839155103B0010000031772</t>
  </si>
  <si>
    <t>2060839155103B0010000031773</t>
  </si>
  <si>
    <t>2060839155103B0010000031774</t>
  </si>
  <si>
    <t>2060839155103B0010000031775</t>
  </si>
  <si>
    <t>2060839155103B0010000031776</t>
  </si>
  <si>
    <t>2060839155103B0010000031778</t>
  </si>
  <si>
    <t>2060839155103B0010000031779</t>
  </si>
  <si>
    <t>2060839155103B0010000031780</t>
  </si>
  <si>
    <t>2060839155103B0010000031781</t>
  </si>
  <si>
    <t>2060839155103B0010000031782</t>
  </si>
  <si>
    <t>2060839155103B0010000031783</t>
  </si>
  <si>
    <t>2060839155103B0010000031784</t>
  </si>
  <si>
    <t>2060839155103B0010000031785</t>
  </si>
  <si>
    <t>2060839155103B0010000031786</t>
  </si>
  <si>
    <t>2060839155103B0010000031787</t>
  </si>
  <si>
    <t>2060839155103B0010000031788</t>
  </si>
  <si>
    <t>2060839155103B0010000031789</t>
  </si>
  <si>
    <t>2060839155103B0010000031790</t>
  </si>
  <si>
    <t>2060839155103B0010000031791</t>
  </si>
  <si>
    <t>2060839155103B0010000031792</t>
  </si>
  <si>
    <t>2060839155103B0010000031793</t>
  </si>
  <si>
    <t>2060839155103B0010000031794</t>
  </si>
  <si>
    <t>2060839155103B0010000031795</t>
  </si>
  <si>
    <t>2060839155103B0010000031796</t>
  </si>
  <si>
    <t>2060839155103B0010000031797</t>
  </si>
  <si>
    <t>2060839155103B0010000031798</t>
  </si>
  <si>
    <t>2060839155103B0010000031800</t>
  </si>
  <si>
    <t>2060839155103B0010000031801</t>
  </si>
  <si>
    <t>2060839155103B0010000031802</t>
  </si>
  <si>
    <t>2060839155103B0010000031803</t>
  </si>
  <si>
    <t>2060839155103B0010000031804</t>
  </si>
  <si>
    <t>2060839155103B0010000031805</t>
  </si>
  <si>
    <t>2060839155103B0010000031806</t>
  </si>
  <si>
    <t>2060839155103B0010000031807</t>
  </si>
  <si>
    <t>2060839155103B0010000031808</t>
  </si>
  <si>
    <t>2060839155103B0010000031809</t>
  </si>
  <si>
    <t>2060839155103B0010000031810</t>
  </si>
  <si>
    <t>2060839155103B0010000031811</t>
  </si>
  <si>
    <t>2060839155103B0010000031812</t>
  </si>
  <si>
    <t>2060839155103B0010000031813</t>
  </si>
  <si>
    <t>2060839155103B0010000031814</t>
  </si>
  <si>
    <t>2060839155103B0010000031815</t>
  </si>
  <si>
    <t>2060839155103B0010000031816</t>
  </si>
  <si>
    <t>2060839155103B0010000031817</t>
  </si>
  <si>
    <t>2060839155103B0010000031818</t>
  </si>
  <si>
    <t>2060839155103B0010000031819</t>
  </si>
  <si>
    <t>2060839155103B0010000031820</t>
  </si>
  <si>
    <t>2060839155103B0010000031821</t>
  </si>
  <si>
    <t>2060839155103B0010000031822</t>
  </si>
  <si>
    <t>2060839155103B0010000031823</t>
  </si>
  <si>
    <t>2060839155103B0010000031824</t>
  </si>
  <si>
    <t>2060839155103B0010000031825</t>
  </si>
  <si>
    <t>2060839155103B0010000031826</t>
  </si>
  <si>
    <t>2060839155103B0010000031827</t>
  </si>
  <si>
    <t>2060839155103B0010000031828</t>
  </si>
  <si>
    <t>2060839155103B0010000031829</t>
  </si>
  <si>
    <t>2060839155103B0010000031830</t>
  </si>
  <si>
    <t>2060839155103B0010000031831</t>
  </si>
  <si>
    <t>2060839155103B0010000031832</t>
  </si>
  <si>
    <t>2060839155103B0010000031833</t>
  </si>
  <si>
    <t>2060839155103B0010000031834</t>
  </si>
  <si>
    <t>2060839155103B0010000031835</t>
  </si>
  <si>
    <t>2060839155103B0010000031836</t>
  </si>
  <si>
    <t>2060839155103B0010000031837</t>
  </si>
  <si>
    <t>2060839155103B0010000031838</t>
  </si>
  <si>
    <t>2060839155103B0010000031839</t>
  </si>
  <si>
    <t>2060839155103B0010000031840</t>
  </si>
  <si>
    <t>2060839155103B0010000031841</t>
  </si>
  <si>
    <t>2060839155103B0010000031842</t>
  </si>
  <si>
    <t>2060839155103B0010000031843</t>
  </si>
  <si>
    <t>2060839155103B0010000031844</t>
  </si>
  <si>
    <t>07</t>
  </si>
  <si>
    <t>04065430</t>
  </si>
  <si>
    <t>08431670</t>
  </si>
  <si>
    <t>09227535</t>
  </si>
  <si>
    <t>06124559</t>
  </si>
  <si>
    <t>07480121</t>
  </si>
  <si>
    <t>06603661</t>
  </si>
  <si>
    <t>04051871</t>
  </si>
  <si>
    <t>09309634</t>
  </si>
  <si>
    <t>06784617</t>
  </si>
  <si>
    <t>07171771</t>
  </si>
  <si>
    <t>07459633</t>
  </si>
  <si>
    <t>09845751</t>
  </si>
  <si>
    <t>70121</t>
  </si>
  <si>
    <t xml:space="preserve">POR COMISION DE COMPRA/VENTA DE MONEDA EXTRANJERA           </t>
  </si>
  <si>
    <t>PAREDES MARCANAUPA NEMESIO</t>
  </si>
  <si>
    <t>ACUNA MUNIVE LIDE FELIDIA</t>
  </si>
  <si>
    <t>QUINONES DAMIAN MELECIO</t>
  </si>
  <si>
    <t>DAMIAN QUINONES YESSICA</t>
  </si>
  <si>
    <t>SERVICIOS E IMPORTACIONES QUINONES S.A.C.</t>
  </si>
  <si>
    <t>DAMIAN QUINONES MARLENI</t>
  </si>
  <si>
    <t>FERNANDEZ QUINONES SHEENA</t>
  </si>
  <si>
    <t>CRIOLLO LUDENA ABDON</t>
  </si>
  <si>
    <t>CARDENAS ORDONEZ ROBERTO MISAEL</t>
  </si>
  <si>
    <t>QUINONES BERROSPI JOSE FERNANDO</t>
  </si>
  <si>
    <t>INVERSIONES LOPEZQ S.A.C.</t>
  </si>
  <si>
    <t>V  V MAQUINARIAS SOCIEDAD ANONIMA CERRADA</t>
  </si>
  <si>
    <t>CASAS QUINONES MAXIMA</t>
  </si>
  <si>
    <t>QUINONES AQUINO RITHA</t>
  </si>
  <si>
    <t>QUINONES DAMIAN VICTOR</t>
  </si>
  <si>
    <t>QUINONES RUIZ VIDA</t>
  </si>
  <si>
    <t>QUINONES INGA ISIDRO MAXIMO</t>
  </si>
  <si>
    <t>DE LA CRUZ DUENAS ODILIA</t>
  </si>
  <si>
    <t>TOCAS QUINONES JUAN CARLOS</t>
  </si>
  <si>
    <t>GERE AGUILAR LOURDES BEATRIZ</t>
  </si>
  <si>
    <t>BAQUERIZO PENA FLORENTINO GUZMAN</t>
  </si>
  <si>
    <t>MEDINA ESPIRITU DE SHUNA IRMA LUISA</t>
  </si>
  <si>
    <t>SOTO ORDONEZ BEATRIZ YOLANDA</t>
  </si>
  <si>
    <t>MENDOZA COLLACHAGUA JUAN JORGE</t>
  </si>
  <si>
    <t>PENA CRUZADA TADEO JHIMY</t>
  </si>
  <si>
    <t>AVENDANO ROJAS FILDOR</t>
  </si>
  <si>
    <t>YALLI NAHUI KATTY</t>
  </si>
  <si>
    <t>MUNOZ AYLAS JERSON AMERICO</t>
  </si>
  <si>
    <t>ARTEAGA ORELLANA BASTHIAN ANDRE</t>
  </si>
  <si>
    <t>ORDONEZ GASPAR SOLEDAD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</si>
</sst>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5" formatCode="_ * #,##0_ ;_ * \-#,##0_ ;_ * &quot;-&quot;??_ ;_ @_ "/>
    <numFmt numFmtId="166" formatCode="_ * #,##0.000_ ;_ * \-#,##0.000_ ;_ * &quot;-&quot;??_ ;_ @_ "/>
  </numFmts>
  <fonts count="21" x14ac:knownFonts="1">
    <font>
      <sz val="11"/>
      <color theme="1"/>
      <name val="Calibri"/>
      <family val="2"/>
      <scheme val="minor"/>
    </font>
    <font>
      <b/>
      <sz val="9"/>
      <color indexed="81"/>
      <name val="Tahoma"/>
      <family val="2"/>
    </font>
    <font>
      <sz val="9"/>
      <color theme="1"/>
      <name val="Century"/>
      <family val="1"/>
    </font>
    <font>
      <sz val="7.5"/>
      <color theme="1"/>
      <name val="Century"/>
      <family val="1"/>
    </font>
    <font>
      <sz val="7.5"/>
      <color rgb="FF0000FF"/>
      <name val="Century"/>
      <family val="1"/>
    </font>
    <font>
      <sz val="7"/>
      <color theme="1"/>
      <name val="Century"/>
      <family val="1"/>
    </font>
    <font>
      <sz val="7"/>
      <color rgb="FF0000FF"/>
      <name val="Century"/>
      <family val="1"/>
    </font>
    <font>
      <b/>
      <sz val="9"/>
      <color theme="1"/>
      <name val="Century"/>
      <family val="1"/>
    </font>
    <font>
      <sz val="11"/>
      <color theme="1"/>
      <name val="Calibri"/>
      <family val="2"/>
      <scheme val="minor"/>
    </font>
    <font>
      <sz val="8"/>
      <name val="Calibri"/>
      <family val="2"/>
      <scheme val="minor"/>
    </font>
    <font>
      <sz val="9"/>
      <color theme="1"/>
      <name val="Calibri Light"/>
      <family val="2"/>
    </font>
    <font>
      <sz val="9"/>
      <color theme="1"/>
      <name val="Calibri Light"/>
      <family val="2"/>
      <scheme val="major"/>
    </font>
    <font>
      <sz val="9"/>
      <color rgb="FF0000FF"/>
      <name val="Calibri Light"/>
      <family val="2"/>
    </font>
    <font>
      <b/>
      <sz val="9"/>
      <color theme="1"/>
      <name val="Calibri Light"/>
      <family val="2"/>
    </font>
    <font>
      <sz val="9"/>
      <color rgb="FF0000FF"/>
      <name val="Calibri Light"/>
      <family val="2"/>
      <scheme val="major"/>
    </font>
    <font>
      <sz val="9"/>
      <color theme="0"/>
      <name val="Calibri Light"/>
      <family val="2"/>
      <scheme val="major"/>
    </font>
    <font>
      <b/>
      <sz val="11"/>
      <color indexed="81"/>
      <name val="Tahoma"/>
      <family val="2"/>
    </font>
    <font>
      <sz val="11"/>
      <color indexed="81"/>
      <name val="Tahoma"/>
      <family val="2"/>
    </font>
    <font>
      <sz val="8"/>
      <color theme="1"/>
      <name val="Calibri Light"/>
      <family val="2"/>
    </font>
    <font>
      <sz val="7.5"/>
      <color rgb="FFFF0000"/>
      <name val="Century"/>
      <family val="1"/>
    </font>
    <font>
      <sz val="9"/>
      <color rgb="FFFF0000"/>
      <name val="Calibri Light"/>
      <family val="2"/>
      <scheme val="major"/>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indexed="64"/>
      </bottom>
      <diagonal/>
    </border>
    <border>
      <left/>
      <right/>
      <top style="thin">
        <color auto="1"/>
      </top>
      <bottom/>
      <diagonal/>
    </border>
    <border>
      <left/>
      <right/>
      <top/>
      <bottom style="thin">
        <color indexed="64"/>
      </bottom>
      <diagonal/>
    </border>
  </borders>
  <cellStyleXfs count="4">
    <xf numFmtId="0" fontId="0"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194">
    <xf numFmtId="0" fontId="0" fillId="0" borderId="0" xfId="0"/>
    <xf numFmtId="14" fontId="2" fillId="0" borderId="0" xfId="0" applyNumberFormat="1" applyFont="1" applyAlignment="1">
      <alignment horizontal="center"/>
    </xf>
    <xf numFmtId="49" fontId="2" fillId="0" borderId="0" xfId="0" applyNumberFormat="1" applyFont="1" applyAlignment="1">
      <alignment horizontal="center"/>
    </xf>
    <xf numFmtId="4" fontId="2" fillId="0" borderId="0" xfId="0" applyNumberFormat="1" applyFont="1" applyAlignment="1">
      <alignment horizontal="center"/>
    </xf>
    <xf numFmtId="3" fontId="2" fillId="0" borderId="0" xfId="0" applyNumberFormat="1" applyFont="1" applyAlignment="1">
      <alignment horizontal="center"/>
    </xf>
    <xf numFmtId="0" fontId="2" fillId="0" borderId="0" xfId="0" applyFont="1" applyAlignment="1">
      <alignment horizontal="center"/>
    </xf>
    <xf numFmtId="14" fontId="2"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 fontId="2" fillId="0" borderId="0" xfId="0" applyNumberFormat="1" applyFont="1" applyAlignment="1">
      <alignment horizontal="center" vertical="center" wrapText="1"/>
    </xf>
    <xf numFmtId="3" fontId="2" fillId="0" borderId="0" xfId="0" applyNumberFormat="1" applyFont="1" applyAlignment="1">
      <alignment horizontal="center" vertical="center" wrapText="1"/>
    </xf>
    <xf numFmtId="0" fontId="3" fillId="0" borderId="0" xfId="0" applyFont="1" applyAlignment="1">
      <alignment horizontal="center"/>
    </xf>
    <xf numFmtId="49" fontId="3" fillId="0" borderId="1" xfId="0" applyNumberFormat="1" applyFont="1" applyBorder="1" applyAlignment="1">
      <alignment horizontal="center" vertical="center" wrapText="1"/>
    </xf>
    <xf numFmtId="4"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5" fillId="0" borderId="0" xfId="0" applyNumberFormat="1" applyFont="1" applyAlignment="1">
      <alignment horizontal="center"/>
    </xf>
    <xf numFmtId="49" fontId="5" fillId="0" borderId="0" xfId="0" applyNumberFormat="1" applyFont="1" applyAlignment="1">
      <alignment horizontal="center" vertical="center" wrapText="1"/>
    </xf>
    <xf numFmtId="4" fontId="7" fillId="0" borderId="0" xfId="0" applyNumberFormat="1" applyFont="1" applyAlignment="1">
      <alignment horizontal="center"/>
    </xf>
    <xf numFmtId="14" fontId="4" fillId="0" borderId="2"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4" fontId="4" fillId="0" borderId="2"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4" fontId="7" fillId="0" borderId="1" xfId="0" applyNumberFormat="1" applyFont="1" applyBorder="1" applyAlignment="1">
      <alignment horizontal="center" vertical="center" wrapText="1"/>
    </xf>
    <xf numFmtId="43" fontId="12" fillId="0" borderId="2" xfId="1" applyFont="1" applyBorder="1" applyAlignment="1">
      <alignment vertical="center" wrapText="1"/>
    </xf>
    <xf numFmtId="43" fontId="10" fillId="0" borderId="0" xfId="1" applyFont="1" applyAlignment="1"/>
    <xf numFmtId="165" fontId="7" fillId="0" borderId="1" xfId="1" applyNumberFormat="1" applyFont="1" applyBorder="1" applyAlignment="1">
      <alignment horizontal="center" vertical="center" wrapText="1"/>
    </xf>
    <xf numFmtId="165" fontId="2" fillId="0" borderId="0" xfId="1" applyNumberFormat="1" applyFont="1" applyAlignment="1">
      <alignment horizontal="center" vertical="center" wrapText="1"/>
    </xf>
    <xf numFmtId="166" fontId="2" fillId="0" borderId="0" xfId="1" applyNumberFormat="1" applyFont="1" applyAlignment="1">
      <alignment horizontal="center"/>
    </xf>
    <xf numFmtId="166" fontId="4" fillId="0" borderId="2" xfId="1" applyNumberFormat="1" applyFont="1" applyBorder="1" applyAlignment="1">
      <alignment horizontal="center" vertical="center" wrapText="1"/>
    </xf>
    <xf numFmtId="166" fontId="2" fillId="0" borderId="1" xfId="1" applyNumberFormat="1" applyFont="1" applyBorder="1" applyAlignment="1">
      <alignment horizontal="center" vertical="center" wrapText="1"/>
    </xf>
    <xf numFmtId="166" fontId="2" fillId="0" borderId="0" xfId="1" applyNumberFormat="1" applyFont="1" applyAlignment="1">
      <alignment horizontal="center" vertical="center" wrapText="1"/>
    </xf>
    <xf numFmtId="165" fontId="10" fillId="0" borderId="0" xfId="1" applyNumberFormat="1" applyFont="1" applyAlignment="1"/>
    <xf numFmtId="49" fontId="4" fillId="0" borderId="4" xfId="0" applyNumberFormat="1" applyFont="1" applyBorder="1" applyAlignment="1">
      <alignment horizontal="center" vertical="center" wrapText="1"/>
    </xf>
    <xf numFmtId="4" fontId="4" fillId="0" borderId="4" xfId="0" applyNumberFormat="1" applyFont="1" applyBorder="1" applyAlignment="1">
      <alignment horizontal="center" vertical="center" wrapText="1"/>
    </xf>
    <xf numFmtId="0" fontId="3" fillId="0" borderId="0" xfId="0" applyFont="1" applyAlignment="1">
      <alignment horizontal="center" vertical="center"/>
    </xf>
    <xf numFmtId="43" fontId="10" fillId="0" borderId="1" xfId="1" applyFont="1" applyFill="1" applyBorder="1" applyAlignment="1">
      <alignment vertical="center" wrapText="1"/>
    </xf>
    <xf numFmtId="14" fontId="11"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xf numFmtId="4" fontId="11" fillId="0" borderId="1" xfId="0" applyNumberFormat="1" applyFont="1" applyBorder="1" applyAlignment="1">
      <alignment horizontal="center" vertical="center" wrapText="1"/>
    </xf>
    <xf numFmtId="43" fontId="11" fillId="0" borderId="1" xfId="2" applyFont="1" applyBorder="1" applyAlignment="1">
      <alignment horizontal="center" vertical="center" wrapText="1"/>
    </xf>
    <xf numFmtId="14"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43" fontId="11" fillId="0" borderId="1" xfId="2" applyFont="1" applyBorder="1" applyAlignment="1">
      <alignment horizontal="center" vertical="center"/>
    </xf>
    <xf numFmtId="166" fontId="11" fillId="0" borderId="1" xfId="2" applyNumberFormat="1" applyFont="1" applyBorder="1" applyAlignment="1">
      <alignment vertical="center"/>
    </xf>
    <xf numFmtId="164" fontId="11"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wrapText="1"/>
    </xf>
    <xf numFmtId="3" fontId="14" fillId="0" borderId="4" xfId="0" applyNumberFormat="1" applyFont="1" applyBorder="1" applyAlignment="1">
      <alignment horizontal="center" vertical="center" wrapText="1"/>
    </xf>
    <xf numFmtId="4" fontId="14" fillId="0" borderId="4" xfId="0" applyNumberFormat="1" applyFont="1" applyBorder="1" applyAlignment="1">
      <alignment horizontal="center" vertical="center" wrapText="1"/>
    </xf>
    <xf numFmtId="49" fontId="14" fillId="0" borderId="4" xfId="0"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0" fontId="11" fillId="0" borderId="1" xfId="0" applyFont="1" applyBorder="1" applyAlignment="1">
      <alignment horizontal="left" vertical="center"/>
    </xf>
    <xf numFmtId="14" fontId="10" fillId="0" borderId="0" xfId="0" applyNumberFormat="1" applyFont="1"/>
    <xf numFmtId="49" fontId="10" fillId="0" borderId="0" xfId="0" applyNumberFormat="1" applyFont="1"/>
    <xf numFmtId="4" fontId="10" fillId="0" borderId="0" xfId="0" applyNumberFormat="1" applyFont="1"/>
    <xf numFmtId="164" fontId="10" fillId="0" borderId="0" xfId="0" applyNumberFormat="1" applyFont="1"/>
    <xf numFmtId="3" fontId="10" fillId="0" borderId="0" xfId="0" applyNumberFormat="1" applyFont="1"/>
    <xf numFmtId="0" fontId="10" fillId="0" borderId="0" xfId="0" applyFont="1"/>
    <xf numFmtId="14" fontId="12" fillId="0" borderId="2" xfId="0" applyNumberFormat="1" applyFont="1" applyBorder="1" applyAlignment="1">
      <alignment vertical="center" wrapText="1"/>
    </xf>
    <xf numFmtId="49" fontId="12" fillId="0" borderId="2" xfId="0" applyNumberFormat="1" applyFont="1" applyBorder="1" applyAlignment="1">
      <alignment vertical="center" wrapText="1"/>
    </xf>
    <xf numFmtId="4" fontId="12" fillId="0" borderId="2" xfId="0" applyNumberFormat="1" applyFont="1" applyBorder="1" applyAlignment="1">
      <alignment vertical="center" wrapText="1"/>
    </xf>
    <xf numFmtId="164" fontId="12" fillId="0" borderId="2" xfId="0" applyNumberFormat="1" applyFont="1" applyBorder="1" applyAlignment="1">
      <alignment vertical="center" wrapText="1"/>
    </xf>
    <xf numFmtId="3" fontId="12" fillId="0" borderId="2" xfId="0" applyNumberFormat="1" applyFont="1" applyBorder="1" applyAlignment="1">
      <alignment vertical="center" wrapText="1"/>
    </xf>
    <xf numFmtId="49" fontId="10" fillId="0" borderId="1" xfId="0" applyNumberFormat="1" applyFont="1" applyBorder="1" applyAlignment="1">
      <alignment vertical="center" wrapText="1"/>
    </xf>
    <xf numFmtId="14" fontId="10" fillId="0" borderId="1" xfId="0" applyNumberFormat="1" applyFont="1" applyBorder="1" applyAlignment="1">
      <alignment vertical="center" wrapText="1"/>
    </xf>
    <xf numFmtId="14" fontId="11" fillId="2" borderId="1" xfId="0" applyNumberFormat="1" applyFont="1" applyFill="1" applyBorder="1" applyAlignment="1">
      <alignment horizontal="center" vertical="center" wrapText="1"/>
    </xf>
    <xf numFmtId="49" fontId="11"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xf>
    <xf numFmtId="0" fontId="11" fillId="2" borderId="1" xfId="0" applyFont="1" applyFill="1" applyBorder="1" applyAlignment="1">
      <alignment horizontal="left" vertical="center" wrapText="1"/>
    </xf>
    <xf numFmtId="43" fontId="11" fillId="2" borderId="1" xfId="1" applyFont="1" applyFill="1" applyBorder="1" applyAlignment="1">
      <alignment horizontal="center" vertical="center" wrapText="1"/>
    </xf>
    <xf numFmtId="166" fontId="15" fillId="2" borderId="1" xfId="1" applyNumberFormat="1" applyFont="1" applyFill="1" applyBorder="1" applyAlignment="1">
      <alignment horizontal="center"/>
    </xf>
    <xf numFmtId="49" fontId="11" fillId="2" borderId="1" xfId="0" applyNumberFormat="1" applyFont="1" applyFill="1" applyBorder="1" applyAlignment="1">
      <alignment horizontal="center"/>
    </xf>
    <xf numFmtId="3" fontId="11" fillId="2" borderId="1" xfId="0" applyNumberFormat="1" applyFont="1" applyFill="1" applyBorder="1" applyAlignment="1">
      <alignment horizontal="center" vertical="center" wrapText="1"/>
    </xf>
    <xf numFmtId="4" fontId="11" fillId="2" borderId="1" xfId="0" applyNumberFormat="1" applyFont="1" applyFill="1" applyBorder="1" applyAlignment="1">
      <alignment horizontal="center" vertical="center" wrapText="1"/>
    </xf>
    <xf numFmtId="49" fontId="11" fillId="2" borderId="1" xfId="0" applyNumberFormat="1" applyFont="1" applyFill="1" applyBorder="1" applyAlignment="1">
      <alignment horizontal="left" vertical="center" wrapText="1"/>
    </xf>
    <xf numFmtId="49"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0" fontId="18" fillId="2" borderId="1" xfId="0" applyFont="1" applyFill="1" applyBorder="1"/>
    <xf numFmtId="49" fontId="11" fillId="2" borderId="0" xfId="0" applyNumberFormat="1" applyFont="1" applyFill="1" applyAlignment="1">
      <alignment horizontal="center" vertical="center" wrapText="1"/>
    </xf>
    <xf numFmtId="14" fontId="11" fillId="2" borderId="0" xfId="0" applyNumberFormat="1" applyFont="1" applyFill="1" applyAlignment="1">
      <alignment horizontal="center" vertical="center" wrapText="1"/>
    </xf>
    <xf numFmtId="166" fontId="15" fillId="2" borderId="0" xfId="1" applyNumberFormat="1" applyFont="1" applyFill="1" applyBorder="1" applyAlignment="1">
      <alignment horizontal="center"/>
    </xf>
    <xf numFmtId="43" fontId="11" fillId="2" borderId="0" xfId="1" applyFont="1" applyFill="1" applyBorder="1" applyAlignment="1">
      <alignment horizontal="center" vertical="center" wrapText="1"/>
    </xf>
    <xf numFmtId="49" fontId="11" fillId="2" borderId="0" xfId="0" applyNumberFormat="1" applyFont="1" applyFill="1" applyAlignment="1">
      <alignment horizontal="center"/>
    </xf>
    <xf numFmtId="3" fontId="11" fillId="2" borderId="0" xfId="0" applyNumberFormat="1" applyFont="1" applyFill="1" applyAlignment="1">
      <alignment horizontal="center" vertical="center" wrapText="1"/>
    </xf>
    <xf numFmtId="4" fontId="11" fillId="2" borderId="0" xfId="0" applyNumberFormat="1" applyFont="1" applyFill="1" applyAlignment="1">
      <alignment horizontal="center" vertical="center" wrapText="1"/>
    </xf>
    <xf numFmtId="49" fontId="11" fillId="2" borderId="0" xfId="0" applyNumberFormat="1" applyFont="1" applyFill="1" applyAlignment="1">
      <alignment horizontal="left" vertical="center" wrapText="1"/>
    </xf>
    <xf numFmtId="49" fontId="18" fillId="2" borderId="0" xfId="0" applyNumberFormat="1" applyFont="1" applyFill="1" applyAlignment="1">
      <alignment vertical="center" wrapText="1"/>
    </xf>
    <xf numFmtId="4" fontId="18" fillId="2" borderId="0" xfId="0" applyNumberFormat="1" applyFont="1" applyFill="1" applyAlignment="1">
      <alignment vertical="center" wrapText="1"/>
    </xf>
    <xf numFmtId="0" fontId="18" fillId="2" borderId="0" xfId="0" applyFont="1" applyFill="1"/>
    <xf numFmtId="165" fontId="13" fillId="2" borderId="1" xfId="1" applyNumberFormat="1" applyFont="1" applyFill="1" applyBorder="1" applyAlignment="1"/>
    <xf numFmtId="49" fontId="10" fillId="2" borderId="0" xfId="0" applyNumberFormat="1" applyFont="1" applyFill="1"/>
    <xf numFmtId="14" fontId="10" fillId="2" borderId="0" xfId="0" applyNumberFormat="1" applyFont="1" applyFill="1"/>
    <xf numFmtId="164" fontId="10" fillId="2" borderId="0" xfId="0" applyNumberFormat="1" applyFont="1" applyFill="1"/>
    <xf numFmtId="4" fontId="10" fillId="2" borderId="0" xfId="0" applyNumberFormat="1" applyFont="1" applyFill="1"/>
    <xf numFmtId="3" fontId="10" fillId="2" borderId="0" xfId="0" applyNumberFormat="1" applyFont="1" applyFill="1"/>
    <xf numFmtId="0" fontId="10" fillId="2" borderId="0" xfId="0" applyFont="1" applyFill="1"/>
    <xf numFmtId="49" fontId="19" fillId="0" borderId="4" xfId="0" applyNumberFormat="1" applyFont="1" applyBorder="1" applyAlignment="1">
      <alignment horizontal="center" vertical="center" wrapText="1"/>
    </xf>
    <xf numFmtId="4" fontId="19" fillId="0" borderId="4" xfId="0" applyNumberFormat="1" applyFont="1" applyBorder="1" applyAlignment="1">
      <alignment horizontal="center" vertical="center" wrapText="1"/>
    </xf>
    <xf numFmtId="0" fontId="19" fillId="0" borderId="0" xfId="0" applyFont="1" applyAlignment="1">
      <alignment horizontal="center"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8" xfId="0" applyFont="1" applyBorder="1" applyAlignment="1">
      <alignment horizontal="center" vertical="center" wrapText="1"/>
    </xf>
    <xf numFmtId="14" fontId="3" fillId="0" borderId="2" xfId="0" applyNumberFormat="1"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13"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xf numFmtId="49" fontId="3" fillId="0" borderId="10" xfId="0" applyNumberFormat="1" applyFont="1"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 fontId="3" fillId="0" borderId="2" xfId="0" applyNumberFormat="1" applyFont="1" applyBorder="1" applyAlignment="1">
      <alignment horizontal="center" vertical="center" wrapText="1"/>
    </xf>
    <xf numFmtId="4" fontId="3" fillId="0" borderId="3" xfId="0" applyNumberFormat="1" applyFont="1" applyBorder="1" applyAlignment="1">
      <alignment horizontal="center" vertical="center" wrapText="1"/>
    </xf>
    <xf numFmtId="4" fontId="3" fillId="0" borderId="4" xfId="0" applyNumberFormat="1" applyFont="1" applyBorder="1" applyAlignment="1">
      <alignment horizontal="center" vertical="center" wrapText="1"/>
    </xf>
    <xf numFmtId="4" fontId="3" fillId="0" borderId="5" xfId="0" applyNumberFormat="1" applyFont="1" applyBorder="1" applyAlignment="1">
      <alignment horizontal="center" vertical="center" wrapText="1"/>
    </xf>
    <xf numFmtId="4" fontId="3" fillId="0" borderId="6" xfId="0" applyNumberFormat="1" applyFont="1" applyBorder="1" applyAlignment="1">
      <alignment horizontal="center" vertical="center" wrapText="1"/>
    </xf>
    <xf numFmtId="4" fontId="3" fillId="0" borderId="7" xfId="0" applyNumberFormat="1" applyFont="1" applyBorder="1" applyAlignment="1">
      <alignment horizontal="center" vertical="center" wrapText="1"/>
    </xf>
    <xf numFmtId="4" fontId="3" fillId="0" borderId="8" xfId="0" applyNumberFormat="1" applyFont="1" applyBorder="1" applyAlignment="1">
      <alignment horizontal="center" vertical="center" wrapText="1"/>
    </xf>
    <xf numFmtId="166" fontId="3" fillId="0" borderId="2" xfId="1" applyNumberFormat="1" applyFont="1" applyFill="1" applyBorder="1" applyAlignment="1">
      <alignment horizontal="center" vertical="center" wrapText="1"/>
    </xf>
    <xf numFmtId="166" fontId="3" fillId="0" borderId="3" xfId="1" applyNumberFormat="1" applyFont="1" applyFill="1" applyBorder="1" applyAlignment="1">
      <alignment horizontal="center" vertical="center" wrapText="1"/>
    </xf>
    <xf numFmtId="166" fontId="3" fillId="0" borderId="4" xfId="1"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3" fontId="3" fillId="0" borderId="2" xfId="0" applyNumberFormat="1" applyFont="1" applyBorder="1" applyAlignment="1">
      <alignment horizontal="center" vertical="center" wrapText="1"/>
    </xf>
    <xf numFmtId="3" fontId="3" fillId="0" borderId="3" xfId="0" applyNumberFormat="1" applyFont="1" applyBorder="1" applyAlignment="1">
      <alignment horizontal="center" vertical="center" wrapText="1"/>
    </xf>
    <xf numFmtId="3" fontId="3" fillId="0" borderId="4" xfId="0" applyNumberFormat="1" applyFont="1" applyBorder="1" applyAlignment="1">
      <alignment horizontal="center" vertical="center" wrapText="1"/>
    </xf>
    <xf numFmtId="0" fontId="10" fillId="0" borderId="0" xfId="0" applyFont="1" applyAlignment="1">
      <alignment vertical="center"/>
    </xf>
    <xf numFmtId="14" fontId="10" fillId="0" borderId="1" xfId="0" applyNumberFormat="1" applyFont="1" applyBorder="1" applyAlignment="1">
      <alignment vertical="center" wrapText="1"/>
    </xf>
    <xf numFmtId="49" fontId="10" fillId="0" borderId="1" xfId="0" applyNumberFormat="1" applyFont="1" applyBorder="1" applyAlignment="1">
      <alignment vertical="center" wrapText="1"/>
    </xf>
    <xf numFmtId="0" fontId="10" fillId="0" borderId="1" xfId="0" applyFont="1" applyBorder="1" applyAlignment="1">
      <alignment vertical="center" wrapText="1"/>
    </xf>
    <xf numFmtId="43" fontId="10" fillId="0" borderId="1" xfId="1" applyFont="1" applyFill="1" applyBorder="1" applyAlignment="1">
      <alignment vertical="center" wrapText="1"/>
    </xf>
    <xf numFmtId="3" fontId="10" fillId="0" borderId="1" xfId="0" applyNumberFormat="1" applyFont="1" applyBorder="1" applyAlignment="1">
      <alignment vertical="center" wrapText="1"/>
    </xf>
    <xf numFmtId="164" fontId="10" fillId="0" borderId="1" xfId="0" applyNumberFormat="1" applyFont="1" applyBorder="1" applyAlignment="1">
      <alignment vertical="center" wrapText="1"/>
    </xf>
    <xf numFmtId="4" fontId="10" fillId="0" borderId="1" xfId="0" applyNumberFormat="1" applyFont="1" applyBorder="1" applyAlignment="1">
      <alignment vertical="center" wrapText="1"/>
    </xf>
    <xf numFmtId="14" fontId="13" fillId="2" borderId="1" xfId="0" applyNumberFormat="1" applyFont="1" applyFill="1" applyBorder="1" applyAlignment="1">
      <alignment horizontal="center"/>
    </xf>
    <xf numFmtId="14" fontId="20" fillId="0" borderId="1" xfId="0" applyNumberFormat="1" applyFont="1" applyBorder="1" applyAlignment="1">
      <alignment horizontal="center" vertical="center"/>
    </xf>
    <xf numFmtId="14" fontId="20" fillId="0" borderId="1" xfId="0" applyNumberFormat="1" applyFont="1" applyBorder="1" applyAlignment="1">
      <alignment horizontal="center" vertical="center" wrapText="1"/>
    </xf>
    <xf numFmtId="49" fontId="20"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horizontal="left" vertical="center"/>
    </xf>
    <xf numFmtId="4" fontId="20" fillId="0" borderId="1" xfId="0" applyNumberFormat="1" applyFont="1" applyBorder="1" applyAlignment="1">
      <alignment horizontal="center" vertical="center" wrapText="1"/>
    </xf>
    <xf numFmtId="43" fontId="20" fillId="0" borderId="1" xfId="2" applyFont="1" applyBorder="1" applyAlignment="1">
      <alignment horizontal="center" vertical="center" wrapText="1"/>
    </xf>
    <xf numFmtId="43" fontId="20" fillId="0" borderId="1" xfId="2" applyFont="1" applyBorder="1" applyAlignment="1">
      <alignment horizontal="center" vertical="center"/>
    </xf>
    <xf numFmtId="166" fontId="20" fillId="0" borderId="1" xfId="2" applyNumberFormat="1" applyFont="1" applyBorder="1" applyAlignment="1">
      <alignment vertical="center"/>
    </xf>
    <xf numFmtId="3" fontId="20" fillId="0" borderId="4" xfId="0" applyNumberFormat="1" applyFont="1" applyBorder="1" applyAlignment="1">
      <alignment horizontal="center" vertical="center" wrapText="1"/>
    </xf>
    <xf numFmtId="4" fontId="20" fillId="0" borderId="4" xfId="0" applyNumberFormat="1" applyFont="1" applyBorder="1" applyAlignment="1">
      <alignment horizontal="center" vertical="center" wrapText="1"/>
    </xf>
    <xf numFmtId="49" fontId="20" fillId="0" borderId="4" xfId="0" applyNumberFormat="1" applyFont="1" applyBorder="1" applyAlignment="1">
      <alignment horizontal="center" vertical="center" wrapText="1"/>
    </xf>
    <xf numFmtId="14" fontId="20" fillId="0" borderId="4" xfId="0" applyNumberFormat="1" applyFont="1" applyBorder="1" applyAlignment="1">
      <alignment horizontal="center" vertical="center" wrapText="1"/>
    </xf>
    <xf numFmtId="14" fontId="0" fillId="0" borderId="0" xfId="0" applyNumberFormat="1"/>
    <xf numFmtId="49" fontId="3" fillId="0" borderId="2" xfId="0" applyNumberFormat="1" applyFont="1" applyBorder="1" applyAlignment="1">
      <alignment horizontal="left" vertical="center" wrapText="1"/>
    </xf>
    <xf numFmtId="49" fontId="3" fillId="0" borderId="3" xfId="0" applyNumberFormat="1" applyFont="1" applyBorder="1" applyAlignment="1">
      <alignment horizontal="left" vertical="center" wrapText="1"/>
    </xf>
    <xf numFmtId="49" fontId="3" fillId="0" borderId="4" xfId="0" applyNumberFormat="1" applyFont="1" applyBorder="1" applyAlignment="1">
      <alignment horizontal="left" vertical="center" wrapText="1"/>
    </xf>
    <xf numFmtId="49" fontId="4" fillId="0" borderId="2" xfId="0" applyNumberFormat="1" applyFont="1" applyBorder="1" applyAlignment="1">
      <alignment horizontal="left" vertical="center" wrapText="1"/>
    </xf>
    <xf numFmtId="49" fontId="14" fillId="0" borderId="1" xfId="0" applyNumberFormat="1" applyFont="1" applyBorder="1" applyAlignment="1">
      <alignment horizontal="left" vertical="center" wrapText="1"/>
    </xf>
    <xf numFmtId="4" fontId="2" fillId="0" borderId="0" xfId="0" applyNumberFormat="1" applyFont="1" applyAlignment="1">
      <alignment horizontal="left" vertical="center" wrapText="1"/>
    </xf>
    <xf numFmtId="4" fontId="2" fillId="0" borderId="0" xfId="0" applyNumberFormat="1" applyFont="1" applyAlignment="1">
      <alignment horizontal="left"/>
    </xf>
    <xf numFmtId="49" fontId="2" fillId="0" borderId="0" xfId="0" applyNumberFormat="1" applyFont="1" applyAlignment="1">
      <alignment horizontal="left"/>
    </xf>
    <xf numFmtId="14" fontId="11" fillId="3" borderId="1" xfId="0" applyNumberFormat="1" applyFont="1" applyFill="1" applyBorder="1" applyAlignment="1">
      <alignment horizontal="center" vertical="center"/>
    </xf>
    <xf numFmtId="14" fontId="11" fillId="3" borderId="1" xfId="0" applyNumberFormat="1" applyFont="1" applyFill="1" applyBorder="1" applyAlignment="1">
      <alignment horizontal="center" vertical="center" wrapText="1"/>
    </xf>
    <xf numFmtId="49" fontId="11" fillId="3" borderId="1" xfId="0" applyNumberFormat="1" applyFont="1" applyFill="1" applyBorder="1" applyAlignment="1">
      <alignment horizontal="center" vertical="center" wrapText="1"/>
    </xf>
    <xf numFmtId="0" fontId="11" fillId="3" borderId="1" xfId="0" applyFont="1" applyFill="1" applyBorder="1" applyAlignment="1">
      <alignment horizontal="center" vertical="center"/>
    </xf>
    <xf numFmtId="0" fontId="11" fillId="3" borderId="1" xfId="0" applyFont="1" applyFill="1" applyBorder="1" applyAlignment="1">
      <alignment horizontal="left" vertical="center"/>
    </xf>
    <xf numFmtId="4" fontId="11" fillId="3" borderId="1" xfId="0" applyNumberFormat="1" applyFont="1" applyFill="1" applyBorder="1" applyAlignment="1">
      <alignment horizontal="center" vertical="center" wrapText="1"/>
    </xf>
    <xf numFmtId="43" fontId="11" fillId="3" borderId="1" xfId="2" applyFont="1" applyFill="1" applyBorder="1" applyAlignment="1">
      <alignment horizontal="center" vertical="center" wrapText="1"/>
    </xf>
    <xf numFmtId="43" fontId="11" fillId="3" borderId="1" xfId="2" applyFont="1" applyFill="1" applyBorder="1" applyAlignment="1">
      <alignment horizontal="center" vertical="center"/>
    </xf>
    <xf numFmtId="166" fontId="11" fillId="3" borderId="1" xfId="2" applyNumberFormat="1" applyFont="1" applyFill="1" applyBorder="1" applyAlignment="1">
      <alignment vertical="center"/>
    </xf>
    <xf numFmtId="164" fontId="11" fillId="3" borderId="1" xfId="0" applyNumberFormat="1"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3" fontId="14" fillId="3" borderId="4" xfId="0" applyNumberFormat="1" applyFont="1" applyFill="1" applyBorder="1" applyAlignment="1">
      <alignment horizontal="center" vertical="center" wrapText="1"/>
    </xf>
    <xf numFmtId="4" fontId="14" fillId="3" borderId="4" xfId="0" applyNumberFormat="1" applyFont="1" applyFill="1" applyBorder="1" applyAlignment="1">
      <alignment horizontal="center" vertical="center" wrapText="1"/>
    </xf>
    <xf numFmtId="49" fontId="14" fillId="3" borderId="4" xfId="0" applyNumberFormat="1" applyFont="1" applyFill="1" applyBorder="1" applyAlignment="1">
      <alignment horizontal="center" vertical="center" wrapText="1"/>
    </xf>
    <xf numFmtId="14" fontId="14" fillId="3" borderId="4" xfId="0" applyNumberFormat="1" applyFont="1" applyFill="1" applyBorder="1" applyAlignment="1">
      <alignment horizontal="center" vertical="center" wrapText="1"/>
    </xf>
    <xf numFmtId="49" fontId="14" fillId="3" borderId="1" xfId="0" applyNumberFormat="1" applyFont="1" applyFill="1" applyBorder="1" applyAlignment="1">
      <alignment horizontal="left" vertical="center" wrapText="1"/>
    </xf>
    <xf numFmtId="49" fontId="4" fillId="3" borderId="4" xfId="0" applyNumberFormat="1" applyFont="1" applyFill="1" applyBorder="1" applyAlignment="1">
      <alignment horizontal="center" vertical="center" wrapText="1"/>
    </xf>
    <xf numFmtId="4" fontId="4" fillId="3" borderId="4" xfId="0" applyNumberFormat="1" applyFont="1" applyFill="1" applyBorder="1" applyAlignment="1">
      <alignment horizontal="center" vertical="center" wrapText="1"/>
    </xf>
    <xf numFmtId="0" fontId="3" fillId="3" borderId="0" xfId="0" applyFont="1" applyFill="1" applyAlignment="1">
      <alignment horizontal="center" vertical="center"/>
    </xf>
    <xf numFmtId="49" fontId="11" fillId="0" borderId="1" xfId="0" applyNumberFormat="1" applyFont="1" applyBorder="1" applyAlignment="1">
      <alignment horizontal="center" vertical="center"/>
    </xf>
    <xf numFmtId="49" fontId="11" fillId="3" borderId="1" xfId="0" applyNumberFormat="1" applyFont="1" applyFill="1" applyBorder="1" applyAlignment="1">
      <alignment horizontal="center" vertical="center"/>
    </xf>
    <xf numFmtId="49" fontId="20" fillId="0" borderId="1" xfId="0" applyNumberFormat="1" applyFont="1" applyBorder="1" applyAlignment="1">
      <alignment horizontal="center" vertical="center"/>
    </xf>
  </cellXfs>
  <cellStyles count="4">
    <cellStyle name="Millares" xfId="1" builtinId="3"/>
    <cellStyle name="Millares 2" xfId="3" xr:uid="{ACB5D503-A8D1-4EDC-8CC3-41BB01061A57}"/>
    <cellStyle name="Millares 3" xfId="2" xr:uid="{2D043804-B0EC-4855-AEAD-25348583EDD0}"/>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U899"/>
  <sheetViews>
    <sheetView showGridLines="0" tabSelected="1" zoomScale="94" zoomScaleNormal="94" workbookViewId="0">
      <pane ySplit="4" topLeftCell="A5" activePane="bottomLeft" state="frozen"/>
      <selection pane="bottomLeft" activeCell="R16" sqref="R16"/>
    </sheetView>
  </sheetViews>
  <sheetFormatPr baseColWidth="10" defaultColWidth="11.42578125" defaultRowHeight="13.5" x14ac:dyDescent="0.25"/>
  <cols>
    <col min="1" max="1" width="12.7109375" style="1" customWidth="1"/>
    <col min="2" max="2" width="9" style="1" hidden="1" customWidth="1"/>
    <col min="3" max="3" width="5" style="2" customWidth="1"/>
    <col min="4" max="4" width="6.7109375" style="2" customWidth="1"/>
    <col min="5" max="5" width="10.140625" style="2" customWidth="1"/>
    <col min="6" max="6" width="3.28515625" style="2" customWidth="1"/>
    <col min="7" max="7" width="13.85546875" style="2" customWidth="1"/>
    <col min="8" max="8" width="45.85546875" style="14" customWidth="1"/>
    <col min="9" max="9" width="15.7109375" style="3" hidden="1" customWidth="1"/>
    <col min="10" max="10" width="14.140625" style="3" customWidth="1"/>
    <col min="11" max="11" width="11.140625" style="3" customWidth="1"/>
    <col min="12" max="12" width="7.42578125" style="3" hidden="1" customWidth="1"/>
    <col min="13" max="13" width="15.7109375" style="3" hidden="1" customWidth="1"/>
    <col min="14" max="14" width="15.28515625" style="3" customWidth="1"/>
    <col min="15" max="15" width="15.7109375" style="3" hidden="1" customWidth="1"/>
    <col min="16" max="16" width="14.140625" style="3" customWidth="1"/>
    <col min="17" max="17" width="7.28515625" style="31" customWidth="1"/>
    <col min="18" max="18" width="10.28515625" style="1" customWidth="1"/>
    <col min="19" max="19" width="5.28515625" style="2" customWidth="1"/>
    <col min="20" max="20" width="9.7109375" style="2" customWidth="1"/>
    <col min="21" max="21" width="7.5703125" style="2" customWidth="1"/>
    <col min="22" max="22" width="4.85546875" style="2" customWidth="1"/>
    <col min="23" max="23" width="14.7109375" style="3" customWidth="1"/>
    <col min="24" max="24" width="13.7109375" style="1" customWidth="1"/>
    <col min="25" max="25" width="8" style="2" customWidth="1"/>
    <col min="26" max="27" width="13.7109375" style="2" hidden="1" customWidth="1"/>
    <col min="28" max="28" width="9.42578125" style="2" customWidth="1"/>
    <col min="29" max="29" width="13.7109375" style="2" hidden="1" customWidth="1"/>
    <col min="30" max="30" width="11.140625" style="2" customWidth="1"/>
    <col min="31" max="31" width="13.7109375" style="4" hidden="1" customWidth="1"/>
    <col min="32" max="33" width="15.7109375" style="3" hidden="1" customWidth="1"/>
    <col min="34" max="34" width="10.7109375" style="2" hidden="1" customWidth="1"/>
    <col min="35" max="35" width="15.7109375" style="2" hidden="1" customWidth="1"/>
    <col min="36" max="36" width="10.7109375" style="1" hidden="1" customWidth="1"/>
    <col min="37" max="37" width="11.7109375" style="2" hidden="1" customWidth="1"/>
    <col min="38" max="38" width="8.140625" style="3" customWidth="1"/>
    <col min="39" max="39" width="57.85546875" style="171" customWidth="1"/>
    <col min="40" max="40" width="15.28515625" style="2" customWidth="1"/>
    <col min="41" max="41" width="9.7109375" style="2" customWidth="1"/>
    <col min="42" max="42" width="15.7109375" style="3" customWidth="1"/>
    <col min="43" max="16384" width="11.42578125" style="5"/>
  </cols>
  <sheetData>
    <row r="1" spans="1:42" s="10" customFormat="1" ht="21.95" customHeight="1" x14ac:dyDescent="0.15">
      <c r="A1" s="111" t="s">
        <v>5</v>
      </c>
      <c r="B1" s="111" t="s">
        <v>7</v>
      </c>
      <c r="C1" s="114" t="s">
        <v>8</v>
      </c>
      <c r="D1" s="115"/>
      <c r="E1" s="116"/>
      <c r="F1" s="120" t="s">
        <v>15</v>
      </c>
      <c r="G1" s="121"/>
      <c r="H1" s="122"/>
      <c r="I1" s="125" t="s">
        <v>21</v>
      </c>
      <c r="J1" s="125" t="s">
        <v>23</v>
      </c>
      <c r="K1" s="128" t="s">
        <v>24</v>
      </c>
      <c r="L1" s="129"/>
      <c r="M1" s="125" t="s">
        <v>27</v>
      </c>
      <c r="N1" s="125" t="s">
        <v>28</v>
      </c>
      <c r="O1" s="125" t="s">
        <v>29</v>
      </c>
      <c r="P1" s="125" t="s">
        <v>30</v>
      </c>
      <c r="Q1" s="132" t="s">
        <v>31</v>
      </c>
      <c r="R1" s="105" t="s">
        <v>33</v>
      </c>
      <c r="S1" s="106"/>
      <c r="T1" s="106"/>
      <c r="U1" s="107"/>
      <c r="V1" s="135" t="s">
        <v>37</v>
      </c>
      <c r="W1" s="125" t="s">
        <v>38</v>
      </c>
      <c r="X1" s="111" t="s">
        <v>39</v>
      </c>
      <c r="Y1" s="135" t="s">
        <v>40</v>
      </c>
      <c r="Z1" s="135" t="s">
        <v>42</v>
      </c>
      <c r="AA1" s="135" t="s">
        <v>44</v>
      </c>
      <c r="AB1" s="135" t="s">
        <v>45</v>
      </c>
      <c r="AC1" s="135" t="s">
        <v>47</v>
      </c>
      <c r="AD1" s="135" t="s">
        <v>48</v>
      </c>
      <c r="AE1" s="138" t="s">
        <v>49</v>
      </c>
      <c r="AF1" s="125" t="s">
        <v>51</v>
      </c>
      <c r="AG1" s="125" t="s">
        <v>53</v>
      </c>
      <c r="AH1" s="135" t="s">
        <v>54</v>
      </c>
      <c r="AI1" s="135" t="s">
        <v>55</v>
      </c>
      <c r="AJ1" s="111" t="s">
        <v>56</v>
      </c>
      <c r="AK1" s="135" t="s">
        <v>57</v>
      </c>
      <c r="AL1" s="125" t="s">
        <v>58</v>
      </c>
      <c r="AM1" s="164" t="s">
        <v>59</v>
      </c>
      <c r="AN1" s="135" t="s">
        <v>60</v>
      </c>
      <c r="AO1" s="135" t="s">
        <v>61</v>
      </c>
      <c r="AP1" s="125" t="s">
        <v>62</v>
      </c>
    </row>
    <row r="2" spans="1:42" s="10" customFormat="1" ht="21.95" customHeight="1" x14ac:dyDescent="0.15">
      <c r="A2" s="112"/>
      <c r="B2" s="112"/>
      <c r="C2" s="117"/>
      <c r="D2" s="118"/>
      <c r="E2" s="119"/>
      <c r="F2" s="120" t="s">
        <v>16</v>
      </c>
      <c r="G2" s="122"/>
      <c r="H2" s="123" t="s">
        <v>19</v>
      </c>
      <c r="I2" s="126"/>
      <c r="J2" s="126"/>
      <c r="K2" s="130"/>
      <c r="L2" s="131"/>
      <c r="M2" s="126"/>
      <c r="N2" s="126"/>
      <c r="O2" s="126"/>
      <c r="P2" s="126"/>
      <c r="Q2" s="133"/>
      <c r="R2" s="108"/>
      <c r="S2" s="109"/>
      <c r="T2" s="109"/>
      <c r="U2" s="110"/>
      <c r="V2" s="136"/>
      <c r="W2" s="126"/>
      <c r="X2" s="112"/>
      <c r="Y2" s="136"/>
      <c r="Z2" s="136"/>
      <c r="AA2" s="136"/>
      <c r="AB2" s="136"/>
      <c r="AC2" s="136"/>
      <c r="AD2" s="136"/>
      <c r="AE2" s="139"/>
      <c r="AF2" s="126"/>
      <c r="AG2" s="126"/>
      <c r="AH2" s="136"/>
      <c r="AI2" s="136"/>
      <c r="AJ2" s="112"/>
      <c r="AK2" s="136"/>
      <c r="AL2" s="126"/>
      <c r="AM2" s="165"/>
      <c r="AN2" s="136"/>
      <c r="AO2" s="136"/>
      <c r="AP2" s="126"/>
    </row>
    <row r="3" spans="1:42" s="10" customFormat="1" ht="45" customHeight="1" x14ac:dyDescent="0.15">
      <c r="A3" s="113"/>
      <c r="B3" s="113"/>
      <c r="C3" s="11" t="s">
        <v>9</v>
      </c>
      <c r="D3" s="11" t="s">
        <v>11</v>
      </c>
      <c r="E3" s="11" t="s">
        <v>13</v>
      </c>
      <c r="F3" s="11" t="s">
        <v>9</v>
      </c>
      <c r="G3" s="11" t="s">
        <v>13</v>
      </c>
      <c r="H3" s="124"/>
      <c r="I3" s="127"/>
      <c r="J3" s="127"/>
      <c r="K3" s="12" t="s">
        <v>25</v>
      </c>
      <c r="L3" s="12" t="s">
        <v>26</v>
      </c>
      <c r="M3" s="127"/>
      <c r="N3" s="127"/>
      <c r="O3" s="127"/>
      <c r="P3" s="127"/>
      <c r="Q3" s="134"/>
      <c r="R3" s="13" t="s">
        <v>34</v>
      </c>
      <c r="S3" s="11" t="s">
        <v>9</v>
      </c>
      <c r="T3" s="11" t="s">
        <v>35</v>
      </c>
      <c r="U3" s="11" t="s">
        <v>36</v>
      </c>
      <c r="V3" s="137"/>
      <c r="W3" s="127"/>
      <c r="X3" s="113"/>
      <c r="Y3" s="137"/>
      <c r="Z3" s="137"/>
      <c r="AA3" s="137"/>
      <c r="AB3" s="137"/>
      <c r="AC3" s="137"/>
      <c r="AD3" s="137"/>
      <c r="AE3" s="140"/>
      <c r="AF3" s="127"/>
      <c r="AG3" s="127"/>
      <c r="AH3" s="137"/>
      <c r="AI3" s="137"/>
      <c r="AJ3" s="113"/>
      <c r="AK3" s="137"/>
      <c r="AL3" s="127"/>
      <c r="AM3" s="166"/>
      <c r="AN3" s="137"/>
      <c r="AO3" s="137"/>
      <c r="AP3" s="127"/>
    </row>
    <row r="4" spans="1:42" s="10" customFormat="1" ht="24.6" customHeight="1" x14ac:dyDescent="0.15">
      <c r="A4" s="17" t="s">
        <v>6</v>
      </c>
      <c r="B4" s="17" t="s">
        <v>6</v>
      </c>
      <c r="C4" s="18" t="s">
        <v>10</v>
      </c>
      <c r="D4" s="18" t="s">
        <v>12</v>
      </c>
      <c r="E4" s="18" t="s">
        <v>14</v>
      </c>
      <c r="F4" s="18" t="s">
        <v>17</v>
      </c>
      <c r="G4" s="18" t="s">
        <v>18</v>
      </c>
      <c r="H4" s="19" t="s">
        <v>20</v>
      </c>
      <c r="I4" s="20" t="s">
        <v>22</v>
      </c>
      <c r="J4" s="20" t="s">
        <v>22</v>
      </c>
      <c r="K4" s="20" t="s">
        <v>22</v>
      </c>
      <c r="L4" s="20" t="s">
        <v>22</v>
      </c>
      <c r="M4" s="20" t="s">
        <v>22</v>
      </c>
      <c r="N4" s="20" t="s">
        <v>22</v>
      </c>
      <c r="O4" s="20" t="s">
        <v>22</v>
      </c>
      <c r="P4" s="20"/>
      <c r="Q4" s="32" t="s">
        <v>32</v>
      </c>
      <c r="R4" s="17" t="s">
        <v>6</v>
      </c>
      <c r="S4" s="18" t="s">
        <v>10</v>
      </c>
      <c r="T4" s="18" t="s">
        <v>12</v>
      </c>
      <c r="U4" s="18" t="s">
        <v>14</v>
      </c>
      <c r="V4" s="18" t="s">
        <v>17</v>
      </c>
      <c r="W4" s="20" t="s">
        <v>22</v>
      </c>
      <c r="X4" s="17" t="s">
        <v>6</v>
      </c>
      <c r="Y4" s="18" t="s">
        <v>41</v>
      </c>
      <c r="Z4" s="18" t="s">
        <v>43</v>
      </c>
      <c r="AA4" s="18" t="s">
        <v>43</v>
      </c>
      <c r="AB4" s="18" t="s">
        <v>46</v>
      </c>
      <c r="AC4" s="18" t="s">
        <v>46</v>
      </c>
      <c r="AD4" s="18" t="s">
        <v>46</v>
      </c>
      <c r="AE4" s="21" t="s">
        <v>50</v>
      </c>
      <c r="AF4" s="20" t="s">
        <v>52</v>
      </c>
      <c r="AG4" s="20" t="s">
        <v>22</v>
      </c>
      <c r="AH4" s="18" t="s">
        <v>12</v>
      </c>
      <c r="AI4" s="18" t="s">
        <v>14</v>
      </c>
      <c r="AJ4" s="17" t="s">
        <v>6</v>
      </c>
      <c r="AK4" s="18" t="s">
        <v>46</v>
      </c>
      <c r="AL4" s="20" t="s">
        <v>52</v>
      </c>
      <c r="AM4" s="167" t="s">
        <v>20</v>
      </c>
      <c r="AN4" s="18" t="s">
        <v>41</v>
      </c>
      <c r="AO4" s="18" t="s">
        <v>17</v>
      </c>
      <c r="AP4" s="20" t="s">
        <v>22</v>
      </c>
    </row>
    <row r="5" spans="1:42" s="38" customFormat="1" ht="18.75" customHeight="1" x14ac:dyDescent="0.25">
      <c r="A5" s="44">
        <v>46174</v>
      </c>
      <c r="B5" s="40">
        <f t="shared" ref="B5:B68" si="0">+A5</f>
        <v>46174</v>
      </c>
      <c r="C5" s="41" t="s">
        <v>85</v>
      </c>
      <c r="D5" s="45" t="s">
        <v>86</v>
      </c>
      <c r="E5" s="45">
        <v>31405</v>
      </c>
      <c r="F5" s="45">
        <v>1</v>
      </c>
      <c r="G5" s="191">
        <v>20018813</v>
      </c>
      <c r="H5" s="54" t="s">
        <v>88</v>
      </c>
      <c r="I5" s="42"/>
      <c r="J5" s="43"/>
      <c r="K5" s="43">
        <f t="shared" ref="K5:K68" si="1">+P5</f>
        <v>100</v>
      </c>
      <c r="L5" s="43"/>
      <c r="M5" s="43"/>
      <c r="N5" s="43"/>
      <c r="O5" s="43"/>
      <c r="P5" s="46">
        <v>100</v>
      </c>
      <c r="Q5" s="47"/>
      <c r="R5" s="40"/>
      <c r="S5" s="42"/>
      <c r="T5" s="41"/>
      <c r="U5" s="41"/>
      <c r="V5" s="48" t="s">
        <v>453</v>
      </c>
      <c r="W5" s="43"/>
      <c r="X5" s="44">
        <v>46174</v>
      </c>
      <c r="Y5" s="41" t="s">
        <v>454</v>
      </c>
      <c r="Z5" s="41"/>
      <c r="AA5" s="41"/>
      <c r="AB5" s="41" t="s">
        <v>937</v>
      </c>
      <c r="AC5" s="49"/>
      <c r="AD5" s="49">
        <v>1212</v>
      </c>
      <c r="AE5" s="50"/>
      <c r="AF5" s="51"/>
      <c r="AG5" s="51"/>
      <c r="AH5" s="52"/>
      <c r="AI5" s="52"/>
      <c r="AJ5" s="53"/>
      <c r="AK5" s="52"/>
      <c r="AL5" s="43">
        <v>18</v>
      </c>
      <c r="AM5" s="168" t="s">
        <v>938</v>
      </c>
      <c r="AN5" s="36"/>
      <c r="AO5" s="36"/>
      <c r="AP5" s="37"/>
    </row>
    <row r="6" spans="1:42" s="38" customFormat="1" ht="18.75" customHeight="1" x14ac:dyDescent="0.25">
      <c r="A6" s="44">
        <v>46174</v>
      </c>
      <c r="B6" s="40">
        <f t="shared" si="0"/>
        <v>46174</v>
      </c>
      <c r="C6" s="41" t="s">
        <v>85</v>
      </c>
      <c r="D6" s="45" t="s">
        <v>86</v>
      </c>
      <c r="E6" s="45">
        <v>31406</v>
      </c>
      <c r="F6" s="45">
        <v>1</v>
      </c>
      <c r="G6" s="191">
        <v>23264737</v>
      </c>
      <c r="H6" s="54" t="s">
        <v>89</v>
      </c>
      <c r="I6" s="42"/>
      <c r="J6" s="43"/>
      <c r="K6" s="43">
        <f t="shared" si="1"/>
        <v>103.2</v>
      </c>
      <c r="L6" s="43"/>
      <c r="M6" s="43"/>
      <c r="N6" s="43"/>
      <c r="O6" s="43"/>
      <c r="P6" s="46">
        <v>103.2</v>
      </c>
      <c r="Q6" s="47"/>
      <c r="R6" s="40"/>
      <c r="S6" s="42"/>
      <c r="T6" s="41"/>
      <c r="U6" s="41"/>
      <c r="V6" s="48" t="s">
        <v>453</v>
      </c>
      <c r="W6" s="43"/>
      <c r="X6" s="44">
        <v>46174</v>
      </c>
      <c r="Y6" s="41" t="s">
        <v>454</v>
      </c>
      <c r="Z6" s="41"/>
      <c r="AA6" s="41"/>
      <c r="AB6" s="41" t="s">
        <v>937</v>
      </c>
      <c r="AC6" s="49"/>
      <c r="AD6" s="49">
        <v>1212</v>
      </c>
      <c r="AE6" s="50"/>
      <c r="AF6" s="51"/>
      <c r="AG6" s="51"/>
      <c r="AH6" s="52"/>
      <c r="AI6" s="52"/>
      <c r="AJ6" s="53"/>
      <c r="AK6" s="52"/>
      <c r="AL6" s="43">
        <v>18</v>
      </c>
      <c r="AM6" s="168" t="s">
        <v>938</v>
      </c>
      <c r="AN6" s="36"/>
      <c r="AO6" s="36"/>
      <c r="AP6" s="37"/>
    </row>
    <row r="7" spans="1:42" s="38" customFormat="1" ht="18.75" customHeight="1" x14ac:dyDescent="0.25">
      <c r="A7" s="44">
        <v>46174</v>
      </c>
      <c r="B7" s="40">
        <f t="shared" si="0"/>
        <v>46174</v>
      </c>
      <c r="C7" s="41" t="s">
        <v>85</v>
      </c>
      <c r="D7" s="45" t="s">
        <v>86</v>
      </c>
      <c r="E7" s="45">
        <v>31407</v>
      </c>
      <c r="F7" s="45">
        <v>1</v>
      </c>
      <c r="G7" s="191">
        <v>23444737</v>
      </c>
      <c r="H7" s="54" t="s">
        <v>90</v>
      </c>
      <c r="I7" s="42"/>
      <c r="J7" s="43"/>
      <c r="K7" s="43">
        <f t="shared" si="1"/>
        <v>108</v>
      </c>
      <c r="L7" s="43"/>
      <c r="M7" s="43"/>
      <c r="N7" s="43"/>
      <c r="O7" s="43"/>
      <c r="P7" s="46">
        <v>108</v>
      </c>
      <c r="Q7" s="47"/>
      <c r="R7" s="40"/>
      <c r="S7" s="42"/>
      <c r="T7" s="41"/>
      <c r="U7" s="41"/>
      <c r="V7" s="48" t="s">
        <v>453</v>
      </c>
      <c r="W7" s="43"/>
      <c r="X7" s="44">
        <v>46174</v>
      </c>
      <c r="Y7" s="41" t="s">
        <v>454</v>
      </c>
      <c r="Z7" s="41"/>
      <c r="AA7" s="41"/>
      <c r="AB7" s="41" t="s">
        <v>937</v>
      </c>
      <c r="AC7" s="49"/>
      <c r="AD7" s="49">
        <v>1212</v>
      </c>
      <c r="AE7" s="50"/>
      <c r="AF7" s="51"/>
      <c r="AG7" s="51"/>
      <c r="AH7" s="52"/>
      <c r="AI7" s="52"/>
      <c r="AJ7" s="53"/>
      <c r="AK7" s="52"/>
      <c r="AL7" s="43">
        <v>18</v>
      </c>
      <c r="AM7" s="168" t="s">
        <v>938</v>
      </c>
      <c r="AN7" s="36"/>
      <c r="AO7" s="36"/>
      <c r="AP7" s="37"/>
    </row>
    <row r="8" spans="1:42" s="38" customFormat="1" ht="18.75" customHeight="1" x14ac:dyDescent="0.25">
      <c r="A8" s="44">
        <v>46174</v>
      </c>
      <c r="B8" s="40">
        <f t="shared" si="0"/>
        <v>46174</v>
      </c>
      <c r="C8" s="41" t="s">
        <v>85</v>
      </c>
      <c r="D8" s="45" t="s">
        <v>86</v>
      </c>
      <c r="E8" s="45">
        <v>31408</v>
      </c>
      <c r="F8" s="45">
        <v>6</v>
      </c>
      <c r="G8" s="191">
        <v>20486255171</v>
      </c>
      <c r="H8" s="54" t="s">
        <v>91</v>
      </c>
      <c r="I8" s="42"/>
      <c r="J8" s="43"/>
      <c r="K8" s="43">
        <f t="shared" si="1"/>
        <v>101.1</v>
      </c>
      <c r="L8" s="43"/>
      <c r="M8" s="43"/>
      <c r="N8" s="43"/>
      <c r="O8" s="43"/>
      <c r="P8" s="46">
        <v>101.1</v>
      </c>
      <c r="Q8" s="47"/>
      <c r="R8" s="40"/>
      <c r="S8" s="42"/>
      <c r="T8" s="41"/>
      <c r="U8" s="41"/>
      <c r="V8" s="48" t="s">
        <v>453</v>
      </c>
      <c r="W8" s="43"/>
      <c r="X8" s="44">
        <v>46174</v>
      </c>
      <c r="Y8" s="41" t="s">
        <v>454</v>
      </c>
      <c r="Z8" s="41"/>
      <c r="AA8" s="41"/>
      <c r="AB8" s="41" t="s">
        <v>937</v>
      </c>
      <c r="AC8" s="49"/>
      <c r="AD8" s="49">
        <v>1212</v>
      </c>
      <c r="AE8" s="50"/>
      <c r="AF8" s="51"/>
      <c r="AG8" s="51"/>
      <c r="AH8" s="52"/>
      <c r="AI8" s="52"/>
      <c r="AJ8" s="53"/>
      <c r="AK8" s="52"/>
      <c r="AL8" s="43">
        <v>18</v>
      </c>
      <c r="AM8" s="168" t="s">
        <v>938</v>
      </c>
      <c r="AN8" s="36"/>
      <c r="AO8" s="36"/>
      <c r="AP8" s="37"/>
    </row>
    <row r="9" spans="1:42" s="38" customFormat="1" ht="18.75" customHeight="1" x14ac:dyDescent="0.25">
      <c r="A9" s="44">
        <v>46174</v>
      </c>
      <c r="B9" s="40">
        <f t="shared" si="0"/>
        <v>46174</v>
      </c>
      <c r="C9" s="41" t="s">
        <v>85</v>
      </c>
      <c r="D9" s="45" t="s">
        <v>86</v>
      </c>
      <c r="E9" s="45">
        <v>31409</v>
      </c>
      <c r="F9" s="45">
        <v>1</v>
      </c>
      <c r="G9" s="191">
        <v>23672435</v>
      </c>
      <c r="H9" s="54" t="s">
        <v>92</v>
      </c>
      <c r="I9" s="42"/>
      <c r="J9" s="43"/>
      <c r="K9" s="43">
        <f t="shared" si="1"/>
        <v>20</v>
      </c>
      <c r="L9" s="43"/>
      <c r="M9" s="43"/>
      <c r="N9" s="43"/>
      <c r="O9" s="43"/>
      <c r="P9" s="46">
        <v>20</v>
      </c>
      <c r="Q9" s="47"/>
      <c r="R9" s="40"/>
      <c r="S9" s="42"/>
      <c r="T9" s="41"/>
      <c r="U9" s="41"/>
      <c r="V9" s="48" t="s">
        <v>453</v>
      </c>
      <c r="W9" s="43"/>
      <c r="X9" s="44">
        <v>46174</v>
      </c>
      <c r="Y9" s="41" t="s">
        <v>454</v>
      </c>
      <c r="Z9" s="41"/>
      <c r="AA9" s="41"/>
      <c r="AB9" s="41" t="s">
        <v>937</v>
      </c>
      <c r="AC9" s="49"/>
      <c r="AD9" s="49">
        <v>1212</v>
      </c>
      <c r="AE9" s="50"/>
      <c r="AF9" s="51"/>
      <c r="AG9" s="51"/>
      <c r="AH9" s="52"/>
      <c r="AI9" s="52"/>
      <c r="AJ9" s="53"/>
      <c r="AK9" s="52"/>
      <c r="AL9" s="43">
        <v>18</v>
      </c>
      <c r="AM9" s="168" t="s">
        <v>938</v>
      </c>
      <c r="AN9" s="36"/>
      <c r="AO9" s="36"/>
      <c r="AP9" s="37"/>
    </row>
    <row r="10" spans="1:42" s="38" customFormat="1" ht="18.75" customHeight="1" x14ac:dyDescent="0.25">
      <c r="A10" s="44">
        <v>46174</v>
      </c>
      <c r="B10" s="40">
        <f t="shared" si="0"/>
        <v>46174</v>
      </c>
      <c r="C10" s="41" t="s">
        <v>85</v>
      </c>
      <c r="D10" s="45" t="s">
        <v>86</v>
      </c>
      <c r="E10" s="45">
        <v>31410</v>
      </c>
      <c r="F10" s="45">
        <v>1</v>
      </c>
      <c r="G10" s="191">
        <v>40980133</v>
      </c>
      <c r="H10" s="54" t="s">
        <v>93</v>
      </c>
      <c r="I10" s="42"/>
      <c r="J10" s="43"/>
      <c r="K10" s="43">
        <f t="shared" si="1"/>
        <v>5</v>
      </c>
      <c r="L10" s="43"/>
      <c r="M10" s="43"/>
      <c r="N10" s="43"/>
      <c r="O10" s="43"/>
      <c r="P10" s="46">
        <v>5</v>
      </c>
      <c r="Q10" s="47"/>
      <c r="R10" s="40"/>
      <c r="S10" s="42"/>
      <c r="T10" s="41"/>
      <c r="U10" s="41"/>
      <c r="V10" s="48" t="s">
        <v>453</v>
      </c>
      <c r="W10" s="43"/>
      <c r="X10" s="44">
        <v>46174</v>
      </c>
      <c r="Y10" s="41" t="s">
        <v>454</v>
      </c>
      <c r="Z10" s="41"/>
      <c r="AA10" s="41"/>
      <c r="AB10" s="41" t="s">
        <v>937</v>
      </c>
      <c r="AC10" s="49"/>
      <c r="AD10" s="49">
        <v>1212</v>
      </c>
      <c r="AE10" s="50"/>
      <c r="AF10" s="51"/>
      <c r="AG10" s="51"/>
      <c r="AH10" s="52"/>
      <c r="AI10" s="52"/>
      <c r="AJ10" s="53"/>
      <c r="AK10" s="52"/>
      <c r="AL10" s="43">
        <v>18</v>
      </c>
      <c r="AM10" s="168" t="s">
        <v>938</v>
      </c>
      <c r="AN10" s="36"/>
      <c r="AO10" s="36"/>
      <c r="AP10" s="37"/>
    </row>
    <row r="11" spans="1:42" s="38" customFormat="1" ht="18.75" customHeight="1" x14ac:dyDescent="0.25">
      <c r="A11" s="44">
        <v>46174</v>
      </c>
      <c r="B11" s="40">
        <f t="shared" si="0"/>
        <v>46174</v>
      </c>
      <c r="C11" s="41" t="s">
        <v>85</v>
      </c>
      <c r="D11" s="45" t="s">
        <v>86</v>
      </c>
      <c r="E11" s="45">
        <v>31411</v>
      </c>
      <c r="F11" s="45">
        <v>1</v>
      </c>
      <c r="G11" s="191">
        <v>10335416</v>
      </c>
      <c r="H11" s="54" t="s">
        <v>94</v>
      </c>
      <c r="I11" s="42"/>
      <c r="J11" s="43"/>
      <c r="K11" s="43">
        <f t="shared" si="1"/>
        <v>5</v>
      </c>
      <c r="L11" s="43"/>
      <c r="M11" s="43"/>
      <c r="N11" s="43"/>
      <c r="O11" s="43"/>
      <c r="P11" s="46">
        <v>5</v>
      </c>
      <c r="Q11" s="47"/>
      <c r="R11" s="40"/>
      <c r="S11" s="42"/>
      <c r="T11" s="41"/>
      <c r="U11" s="41"/>
      <c r="V11" s="48" t="s">
        <v>453</v>
      </c>
      <c r="W11" s="43"/>
      <c r="X11" s="44">
        <v>46174</v>
      </c>
      <c r="Y11" s="41" t="s">
        <v>454</v>
      </c>
      <c r="Z11" s="41"/>
      <c r="AA11" s="41"/>
      <c r="AB11" s="41" t="s">
        <v>937</v>
      </c>
      <c r="AC11" s="49"/>
      <c r="AD11" s="49">
        <v>1212</v>
      </c>
      <c r="AE11" s="50"/>
      <c r="AF11" s="51"/>
      <c r="AG11" s="51"/>
      <c r="AH11" s="52"/>
      <c r="AI11" s="52"/>
      <c r="AJ11" s="53"/>
      <c r="AK11" s="52"/>
      <c r="AL11" s="43">
        <v>18</v>
      </c>
      <c r="AM11" s="168" t="s">
        <v>938</v>
      </c>
      <c r="AN11" s="36"/>
      <c r="AO11" s="36"/>
      <c r="AP11" s="37"/>
    </row>
    <row r="12" spans="1:42" s="38" customFormat="1" ht="18.75" customHeight="1" x14ac:dyDescent="0.25">
      <c r="A12" s="44">
        <v>46174</v>
      </c>
      <c r="B12" s="40">
        <f t="shared" si="0"/>
        <v>46174</v>
      </c>
      <c r="C12" s="41" t="s">
        <v>85</v>
      </c>
      <c r="D12" s="45" t="s">
        <v>86</v>
      </c>
      <c r="E12" s="45">
        <v>31412</v>
      </c>
      <c r="F12" s="45">
        <v>1</v>
      </c>
      <c r="G12" s="191">
        <v>43001373</v>
      </c>
      <c r="H12" s="54" t="s">
        <v>95</v>
      </c>
      <c r="I12" s="42"/>
      <c r="J12" s="43"/>
      <c r="K12" s="43">
        <f t="shared" si="1"/>
        <v>7</v>
      </c>
      <c r="L12" s="43"/>
      <c r="M12" s="43"/>
      <c r="N12" s="43"/>
      <c r="O12" s="43"/>
      <c r="P12" s="46">
        <v>7</v>
      </c>
      <c r="Q12" s="47"/>
      <c r="R12" s="40"/>
      <c r="S12" s="42"/>
      <c r="T12" s="41"/>
      <c r="U12" s="41"/>
      <c r="V12" s="48" t="s">
        <v>453</v>
      </c>
      <c r="W12" s="43"/>
      <c r="X12" s="44">
        <v>46174</v>
      </c>
      <c r="Y12" s="41" t="s">
        <v>454</v>
      </c>
      <c r="Z12" s="41"/>
      <c r="AA12" s="41"/>
      <c r="AB12" s="41" t="s">
        <v>937</v>
      </c>
      <c r="AC12" s="49"/>
      <c r="AD12" s="49">
        <v>1212</v>
      </c>
      <c r="AE12" s="50"/>
      <c r="AF12" s="51"/>
      <c r="AG12" s="51"/>
      <c r="AH12" s="52"/>
      <c r="AI12" s="52"/>
      <c r="AJ12" s="53"/>
      <c r="AK12" s="52"/>
      <c r="AL12" s="43">
        <v>18</v>
      </c>
      <c r="AM12" s="168" t="s">
        <v>938</v>
      </c>
      <c r="AN12" s="36"/>
      <c r="AO12" s="36"/>
      <c r="AP12" s="37"/>
    </row>
    <row r="13" spans="1:42" s="38" customFormat="1" ht="18.75" customHeight="1" x14ac:dyDescent="0.25">
      <c r="A13" s="44">
        <v>46174</v>
      </c>
      <c r="B13" s="40">
        <f t="shared" si="0"/>
        <v>46174</v>
      </c>
      <c r="C13" s="41" t="s">
        <v>85</v>
      </c>
      <c r="D13" s="45" t="s">
        <v>86</v>
      </c>
      <c r="E13" s="45">
        <v>31413</v>
      </c>
      <c r="F13" s="45">
        <v>1</v>
      </c>
      <c r="G13" s="191">
        <v>44468628</v>
      </c>
      <c r="H13" s="54" t="s">
        <v>96</v>
      </c>
      <c r="I13" s="42"/>
      <c r="J13" s="43"/>
      <c r="K13" s="43">
        <f t="shared" si="1"/>
        <v>22</v>
      </c>
      <c r="L13" s="43"/>
      <c r="M13" s="43"/>
      <c r="N13" s="43"/>
      <c r="O13" s="43"/>
      <c r="P13" s="46">
        <v>22</v>
      </c>
      <c r="Q13" s="47"/>
      <c r="R13" s="40"/>
      <c r="S13" s="42"/>
      <c r="T13" s="41"/>
      <c r="U13" s="41"/>
      <c r="V13" s="48" t="s">
        <v>453</v>
      </c>
      <c r="W13" s="43"/>
      <c r="X13" s="44">
        <v>46174</v>
      </c>
      <c r="Y13" s="41" t="s">
        <v>454</v>
      </c>
      <c r="Z13" s="41"/>
      <c r="AA13" s="41"/>
      <c r="AB13" s="41" t="s">
        <v>937</v>
      </c>
      <c r="AC13" s="49"/>
      <c r="AD13" s="49">
        <v>1212</v>
      </c>
      <c r="AE13" s="50"/>
      <c r="AF13" s="51"/>
      <c r="AG13" s="51"/>
      <c r="AH13" s="52"/>
      <c r="AI13" s="52"/>
      <c r="AJ13" s="53"/>
      <c r="AK13" s="52"/>
      <c r="AL13" s="43">
        <v>18</v>
      </c>
      <c r="AM13" s="168" t="s">
        <v>938</v>
      </c>
      <c r="AN13" s="36"/>
      <c r="AO13" s="36"/>
      <c r="AP13" s="37"/>
    </row>
    <row r="14" spans="1:42" s="38" customFormat="1" ht="18.75" customHeight="1" x14ac:dyDescent="0.25">
      <c r="A14" s="44">
        <v>46174</v>
      </c>
      <c r="B14" s="40">
        <f t="shared" si="0"/>
        <v>46174</v>
      </c>
      <c r="C14" s="41" t="s">
        <v>85</v>
      </c>
      <c r="D14" s="45" t="s">
        <v>86</v>
      </c>
      <c r="E14" s="45">
        <v>31414</v>
      </c>
      <c r="F14" s="45">
        <v>1</v>
      </c>
      <c r="G14" s="191">
        <v>47791464</v>
      </c>
      <c r="H14" s="54" t="s">
        <v>97</v>
      </c>
      <c r="I14" s="42"/>
      <c r="J14" s="43"/>
      <c r="K14" s="43">
        <f t="shared" si="1"/>
        <v>11.5</v>
      </c>
      <c r="L14" s="43"/>
      <c r="M14" s="43"/>
      <c r="N14" s="43"/>
      <c r="O14" s="43"/>
      <c r="P14" s="46">
        <v>11.5</v>
      </c>
      <c r="Q14" s="47"/>
      <c r="R14" s="40"/>
      <c r="S14" s="42"/>
      <c r="T14" s="41"/>
      <c r="U14" s="41"/>
      <c r="V14" s="48" t="s">
        <v>453</v>
      </c>
      <c r="W14" s="43"/>
      <c r="X14" s="44">
        <v>46174</v>
      </c>
      <c r="Y14" s="41" t="s">
        <v>454</v>
      </c>
      <c r="Z14" s="41"/>
      <c r="AA14" s="41"/>
      <c r="AB14" s="41" t="s">
        <v>937</v>
      </c>
      <c r="AC14" s="49"/>
      <c r="AD14" s="49">
        <v>1212</v>
      </c>
      <c r="AE14" s="50"/>
      <c r="AF14" s="51"/>
      <c r="AG14" s="51"/>
      <c r="AH14" s="52"/>
      <c r="AI14" s="52"/>
      <c r="AJ14" s="53"/>
      <c r="AK14" s="52"/>
      <c r="AL14" s="43">
        <v>18</v>
      </c>
      <c r="AM14" s="168" t="s">
        <v>938</v>
      </c>
      <c r="AN14" s="36"/>
      <c r="AO14" s="36"/>
      <c r="AP14" s="37"/>
    </row>
    <row r="15" spans="1:42" s="38" customFormat="1" ht="18.75" customHeight="1" x14ac:dyDescent="0.25">
      <c r="A15" s="44">
        <v>46174</v>
      </c>
      <c r="B15" s="40">
        <f t="shared" si="0"/>
        <v>46174</v>
      </c>
      <c r="C15" s="41" t="s">
        <v>85</v>
      </c>
      <c r="D15" s="45" t="s">
        <v>86</v>
      </c>
      <c r="E15" s="45">
        <v>31415</v>
      </c>
      <c r="F15" s="45">
        <v>1</v>
      </c>
      <c r="G15" s="191">
        <v>20416603</v>
      </c>
      <c r="H15" s="54" t="s">
        <v>98</v>
      </c>
      <c r="I15" s="42"/>
      <c r="J15" s="43"/>
      <c r="K15" s="43">
        <f t="shared" si="1"/>
        <v>130</v>
      </c>
      <c r="L15" s="43"/>
      <c r="M15" s="43"/>
      <c r="N15" s="43"/>
      <c r="O15" s="43"/>
      <c r="P15" s="46">
        <v>130</v>
      </c>
      <c r="Q15" s="47"/>
      <c r="R15" s="40"/>
      <c r="S15" s="42"/>
      <c r="T15" s="41"/>
      <c r="U15" s="41"/>
      <c r="V15" s="48" t="s">
        <v>453</v>
      </c>
      <c r="W15" s="43"/>
      <c r="X15" s="44">
        <v>46174</v>
      </c>
      <c r="Y15" s="41" t="s">
        <v>454</v>
      </c>
      <c r="Z15" s="41"/>
      <c r="AA15" s="41"/>
      <c r="AB15" s="41" t="s">
        <v>937</v>
      </c>
      <c r="AC15" s="49"/>
      <c r="AD15" s="49">
        <v>1212</v>
      </c>
      <c r="AE15" s="50"/>
      <c r="AF15" s="51"/>
      <c r="AG15" s="51"/>
      <c r="AH15" s="52"/>
      <c r="AI15" s="52"/>
      <c r="AJ15" s="53"/>
      <c r="AK15" s="52"/>
      <c r="AL15" s="43">
        <v>18</v>
      </c>
      <c r="AM15" s="168" t="s">
        <v>938</v>
      </c>
      <c r="AN15" s="36"/>
      <c r="AO15" s="36"/>
      <c r="AP15" s="37"/>
    </row>
    <row r="16" spans="1:42" s="38" customFormat="1" ht="18.75" customHeight="1" x14ac:dyDescent="0.25">
      <c r="A16" s="44">
        <v>46174</v>
      </c>
      <c r="B16" s="40">
        <f t="shared" si="0"/>
        <v>46174</v>
      </c>
      <c r="C16" s="41" t="s">
        <v>85</v>
      </c>
      <c r="D16" s="45" t="s">
        <v>86</v>
      </c>
      <c r="E16" s="45">
        <v>31416</v>
      </c>
      <c r="F16" s="45">
        <v>1</v>
      </c>
      <c r="G16" s="191">
        <v>43006405</v>
      </c>
      <c r="H16" s="54" t="s">
        <v>99</v>
      </c>
      <c r="I16" s="42"/>
      <c r="J16" s="43"/>
      <c r="K16" s="43">
        <f t="shared" si="1"/>
        <v>10</v>
      </c>
      <c r="L16" s="43"/>
      <c r="M16" s="43"/>
      <c r="N16" s="43"/>
      <c r="O16" s="43"/>
      <c r="P16" s="46">
        <v>10</v>
      </c>
      <c r="Q16" s="47"/>
      <c r="R16" s="40"/>
      <c r="S16" s="42"/>
      <c r="T16" s="41"/>
      <c r="U16" s="41"/>
      <c r="V16" s="48" t="s">
        <v>453</v>
      </c>
      <c r="W16" s="43"/>
      <c r="X16" s="44">
        <v>46174</v>
      </c>
      <c r="Y16" s="41" t="s">
        <v>454</v>
      </c>
      <c r="Z16" s="41"/>
      <c r="AA16" s="41"/>
      <c r="AB16" s="41" t="s">
        <v>937</v>
      </c>
      <c r="AC16" s="49"/>
      <c r="AD16" s="49">
        <v>1212</v>
      </c>
      <c r="AE16" s="50"/>
      <c r="AF16" s="51"/>
      <c r="AG16" s="51"/>
      <c r="AH16" s="52"/>
      <c r="AI16" s="52"/>
      <c r="AJ16" s="53"/>
      <c r="AK16" s="52"/>
      <c r="AL16" s="43">
        <v>18</v>
      </c>
      <c r="AM16" s="168" t="s">
        <v>938</v>
      </c>
      <c r="AN16" s="36"/>
      <c r="AO16" s="36"/>
      <c r="AP16" s="37"/>
    </row>
    <row r="17" spans="1:42" s="38" customFormat="1" ht="18.75" customHeight="1" x14ac:dyDescent="0.25">
      <c r="A17" s="44">
        <v>46174</v>
      </c>
      <c r="B17" s="40">
        <f t="shared" si="0"/>
        <v>46174</v>
      </c>
      <c r="C17" s="41" t="s">
        <v>85</v>
      </c>
      <c r="D17" s="45" t="s">
        <v>86</v>
      </c>
      <c r="E17" s="45">
        <v>31417</v>
      </c>
      <c r="F17" s="45">
        <v>1</v>
      </c>
      <c r="G17" s="191">
        <v>19929072</v>
      </c>
      <c r="H17" s="54" t="s">
        <v>100</v>
      </c>
      <c r="I17" s="42"/>
      <c r="J17" s="43"/>
      <c r="K17" s="43">
        <f t="shared" si="1"/>
        <v>9</v>
      </c>
      <c r="L17" s="43"/>
      <c r="M17" s="43"/>
      <c r="N17" s="43"/>
      <c r="O17" s="43"/>
      <c r="P17" s="46">
        <v>9</v>
      </c>
      <c r="Q17" s="47"/>
      <c r="R17" s="40"/>
      <c r="S17" s="42"/>
      <c r="T17" s="41"/>
      <c r="U17" s="41"/>
      <c r="V17" s="48" t="s">
        <v>453</v>
      </c>
      <c r="W17" s="43"/>
      <c r="X17" s="44">
        <v>46174</v>
      </c>
      <c r="Y17" s="41" t="s">
        <v>454</v>
      </c>
      <c r="Z17" s="41"/>
      <c r="AA17" s="41"/>
      <c r="AB17" s="41" t="s">
        <v>937</v>
      </c>
      <c r="AC17" s="49"/>
      <c r="AD17" s="49">
        <v>1212</v>
      </c>
      <c r="AE17" s="50"/>
      <c r="AF17" s="51"/>
      <c r="AG17" s="51"/>
      <c r="AH17" s="52"/>
      <c r="AI17" s="52"/>
      <c r="AJ17" s="53"/>
      <c r="AK17" s="52"/>
      <c r="AL17" s="43">
        <v>18</v>
      </c>
      <c r="AM17" s="168" t="s">
        <v>938</v>
      </c>
      <c r="AN17" s="36"/>
      <c r="AO17" s="36"/>
      <c r="AP17" s="37"/>
    </row>
    <row r="18" spans="1:42" s="38" customFormat="1" ht="18.75" customHeight="1" x14ac:dyDescent="0.25">
      <c r="A18" s="44">
        <v>46174</v>
      </c>
      <c r="B18" s="40">
        <f t="shared" si="0"/>
        <v>46174</v>
      </c>
      <c r="C18" s="41" t="s">
        <v>85</v>
      </c>
      <c r="D18" s="45" t="s">
        <v>86</v>
      </c>
      <c r="E18" s="45">
        <v>31418</v>
      </c>
      <c r="F18" s="45">
        <v>1</v>
      </c>
      <c r="G18" s="191">
        <v>40659315</v>
      </c>
      <c r="H18" s="54" t="s">
        <v>101</v>
      </c>
      <c r="I18" s="42"/>
      <c r="J18" s="43"/>
      <c r="K18" s="43">
        <f t="shared" si="1"/>
        <v>7.1</v>
      </c>
      <c r="L18" s="43"/>
      <c r="M18" s="43"/>
      <c r="N18" s="43"/>
      <c r="O18" s="43"/>
      <c r="P18" s="46">
        <v>7.1</v>
      </c>
      <c r="Q18" s="47"/>
      <c r="R18" s="40"/>
      <c r="S18" s="42"/>
      <c r="T18" s="41"/>
      <c r="U18" s="41"/>
      <c r="V18" s="48" t="s">
        <v>453</v>
      </c>
      <c r="W18" s="43"/>
      <c r="X18" s="44">
        <v>46174</v>
      </c>
      <c r="Y18" s="41" t="s">
        <v>454</v>
      </c>
      <c r="Z18" s="41"/>
      <c r="AA18" s="41"/>
      <c r="AB18" s="41" t="s">
        <v>937</v>
      </c>
      <c r="AC18" s="49"/>
      <c r="AD18" s="49">
        <v>1212</v>
      </c>
      <c r="AE18" s="50"/>
      <c r="AF18" s="51"/>
      <c r="AG18" s="51"/>
      <c r="AH18" s="52"/>
      <c r="AI18" s="52"/>
      <c r="AJ18" s="53"/>
      <c r="AK18" s="52"/>
      <c r="AL18" s="43">
        <v>18</v>
      </c>
      <c r="AM18" s="168" t="s">
        <v>938</v>
      </c>
      <c r="AN18" s="36"/>
      <c r="AO18" s="36"/>
      <c r="AP18" s="37"/>
    </row>
    <row r="19" spans="1:42" s="38" customFormat="1" ht="18.75" customHeight="1" x14ac:dyDescent="0.25">
      <c r="A19" s="44">
        <v>46174</v>
      </c>
      <c r="B19" s="40">
        <f t="shared" si="0"/>
        <v>46174</v>
      </c>
      <c r="C19" s="41" t="s">
        <v>85</v>
      </c>
      <c r="D19" s="45" t="s">
        <v>86</v>
      </c>
      <c r="E19" s="45">
        <v>31419</v>
      </c>
      <c r="F19" s="45">
        <v>1</v>
      </c>
      <c r="G19" s="191">
        <v>44347986</v>
      </c>
      <c r="H19" s="54" t="s">
        <v>102</v>
      </c>
      <c r="I19" s="42"/>
      <c r="J19" s="43"/>
      <c r="K19" s="43">
        <f t="shared" si="1"/>
        <v>100</v>
      </c>
      <c r="L19" s="43"/>
      <c r="M19" s="43"/>
      <c r="N19" s="43"/>
      <c r="O19" s="43"/>
      <c r="P19" s="46">
        <v>100</v>
      </c>
      <c r="Q19" s="47"/>
      <c r="R19" s="40"/>
      <c r="S19" s="42"/>
      <c r="T19" s="41"/>
      <c r="U19" s="41"/>
      <c r="V19" s="48" t="s">
        <v>453</v>
      </c>
      <c r="W19" s="43"/>
      <c r="X19" s="44">
        <v>46174</v>
      </c>
      <c r="Y19" s="41" t="s">
        <v>454</v>
      </c>
      <c r="Z19" s="41"/>
      <c r="AA19" s="41"/>
      <c r="AB19" s="41" t="s">
        <v>937</v>
      </c>
      <c r="AC19" s="49"/>
      <c r="AD19" s="49">
        <v>1212</v>
      </c>
      <c r="AE19" s="50"/>
      <c r="AF19" s="51"/>
      <c r="AG19" s="51"/>
      <c r="AH19" s="52"/>
      <c r="AI19" s="52"/>
      <c r="AJ19" s="53"/>
      <c r="AK19" s="52"/>
      <c r="AL19" s="43">
        <v>18</v>
      </c>
      <c r="AM19" s="168" t="s">
        <v>938</v>
      </c>
      <c r="AN19" s="36"/>
      <c r="AO19" s="36"/>
      <c r="AP19" s="37"/>
    </row>
    <row r="20" spans="1:42" s="38" customFormat="1" ht="18.75" customHeight="1" x14ac:dyDescent="0.25">
      <c r="A20" s="44">
        <v>46174</v>
      </c>
      <c r="B20" s="40">
        <f t="shared" si="0"/>
        <v>46174</v>
      </c>
      <c r="C20" s="41" t="s">
        <v>85</v>
      </c>
      <c r="D20" s="45" t="s">
        <v>86</v>
      </c>
      <c r="E20" s="45">
        <v>31420</v>
      </c>
      <c r="F20" s="45">
        <v>1</v>
      </c>
      <c r="G20" s="191">
        <v>19988801</v>
      </c>
      <c r="H20" s="54" t="s">
        <v>103</v>
      </c>
      <c r="I20" s="42"/>
      <c r="J20" s="43"/>
      <c r="K20" s="43">
        <f t="shared" si="1"/>
        <v>12.5</v>
      </c>
      <c r="L20" s="43"/>
      <c r="M20" s="43"/>
      <c r="N20" s="43"/>
      <c r="O20" s="43"/>
      <c r="P20" s="46">
        <v>12.5</v>
      </c>
      <c r="Q20" s="47"/>
      <c r="R20" s="40"/>
      <c r="S20" s="42"/>
      <c r="T20" s="41"/>
      <c r="U20" s="41"/>
      <c r="V20" s="48" t="s">
        <v>453</v>
      </c>
      <c r="W20" s="43"/>
      <c r="X20" s="44">
        <v>46174</v>
      </c>
      <c r="Y20" s="41" t="s">
        <v>454</v>
      </c>
      <c r="Z20" s="41"/>
      <c r="AA20" s="41"/>
      <c r="AB20" s="41" t="s">
        <v>937</v>
      </c>
      <c r="AC20" s="49"/>
      <c r="AD20" s="49">
        <v>1212</v>
      </c>
      <c r="AE20" s="50"/>
      <c r="AF20" s="51"/>
      <c r="AG20" s="51"/>
      <c r="AH20" s="52"/>
      <c r="AI20" s="52"/>
      <c r="AJ20" s="53"/>
      <c r="AK20" s="52"/>
      <c r="AL20" s="43">
        <v>18</v>
      </c>
      <c r="AM20" s="168" t="s">
        <v>938</v>
      </c>
      <c r="AN20" s="36"/>
      <c r="AO20" s="36"/>
      <c r="AP20" s="37"/>
    </row>
    <row r="21" spans="1:42" s="38" customFormat="1" ht="18.75" customHeight="1" x14ac:dyDescent="0.25">
      <c r="A21" s="44">
        <v>46174</v>
      </c>
      <c r="B21" s="40">
        <f t="shared" si="0"/>
        <v>46174</v>
      </c>
      <c r="C21" s="41" t="s">
        <v>85</v>
      </c>
      <c r="D21" s="45" t="s">
        <v>86</v>
      </c>
      <c r="E21" s="45">
        <v>31421</v>
      </c>
      <c r="F21" s="45">
        <v>6</v>
      </c>
      <c r="G21" s="191">
        <v>20600215079</v>
      </c>
      <c r="H21" s="54" t="s">
        <v>104</v>
      </c>
      <c r="I21" s="42"/>
      <c r="J21" s="43"/>
      <c r="K21" s="43">
        <f t="shared" si="1"/>
        <v>75</v>
      </c>
      <c r="L21" s="43"/>
      <c r="M21" s="43"/>
      <c r="N21" s="43"/>
      <c r="O21" s="43"/>
      <c r="P21" s="46">
        <v>75</v>
      </c>
      <c r="Q21" s="47"/>
      <c r="R21" s="40"/>
      <c r="S21" s="42"/>
      <c r="T21" s="41"/>
      <c r="U21" s="41"/>
      <c r="V21" s="48" t="s">
        <v>453</v>
      </c>
      <c r="W21" s="43"/>
      <c r="X21" s="44">
        <v>46174</v>
      </c>
      <c r="Y21" s="41" t="s">
        <v>454</v>
      </c>
      <c r="Z21" s="41"/>
      <c r="AA21" s="41"/>
      <c r="AB21" s="41" t="s">
        <v>937</v>
      </c>
      <c r="AC21" s="49"/>
      <c r="AD21" s="49">
        <v>1212</v>
      </c>
      <c r="AE21" s="50"/>
      <c r="AF21" s="51"/>
      <c r="AG21" s="51"/>
      <c r="AH21" s="52"/>
      <c r="AI21" s="52"/>
      <c r="AJ21" s="53"/>
      <c r="AK21" s="52"/>
      <c r="AL21" s="43">
        <v>18</v>
      </c>
      <c r="AM21" s="168" t="s">
        <v>938</v>
      </c>
      <c r="AN21" s="36"/>
      <c r="AO21" s="36"/>
      <c r="AP21" s="37"/>
    </row>
    <row r="22" spans="1:42" s="38" customFormat="1" ht="18.75" customHeight="1" x14ac:dyDescent="0.25">
      <c r="A22" s="44">
        <v>46174</v>
      </c>
      <c r="B22" s="40">
        <f t="shared" si="0"/>
        <v>46174</v>
      </c>
      <c r="C22" s="41" t="s">
        <v>85</v>
      </c>
      <c r="D22" s="45" t="s">
        <v>86</v>
      </c>
      <c r="E22" s="45">
        <v>31422</v>
      </c>
      <c r="F22" s="45">
        <v>1</v>
      </c>
      <c r="G22" s="191">
        <v>19969604</v>
      </c>
      <c r="H22" s="54" t="s">
        <v>105</v>
      </c>
      <c r="I22" s="42"/>
      <c r="J22" s="43"/>
      <c r="K22" s="43">
        <f t="shared" si="1"/>
        <v>50</v>
      </c>
      <c r="L22" s="43"/>
      <c r="M22" s="43"/>
      <c r="N22" s="43"/>
      <c r="O22" s="43"/>
      <c r="P22" s="46">
        <v>50</v>
      </c>
      <c r="Q22" s="47"/>
      <c r="R22" s="40"/>
      <c r="S22" s="42"/>
      <c r="T22" s="41"/>
      <c r="U22" s="41"/>
      <c r="V22" s="48" t="s">
        <v>453</v>
      </c>
      <c r="W22" s="43"/>
      <c r="X22" s="44">
        <v>46174</v>
      </c>
      <c r="Y22" s="41" t="s">
        <v>454</v>
      </c>
      <c r="Z22" s="41"/>
      <c r="AA22" s="41"/>
      <c r="AB22" s="41" t="s">
        <v>937</v>
      </c>
      <c r="AC22" s="49"/>
      <c r="AD22" s="49">
        <v>1212</v>
      </c>
      <c r="AE22" s="50"/>
      <c r="AF22" s="51"/>
      <c r="AG22" s="51"/>
      <c r="AH22" s="52"/>
      <c r="AI22" s="52"/>
      <c r="AJ22" s="53"/>
      <c r="AK22" s="52"/>
      <c r="AL22" s="43">
        <v>18</v>
      </c>
      <c r="AM22" s="168" t="s">
        <v>938</v>
      </c>
      <c r="AN22" s="36"/>
      <c r="AO22" s="36"/>
      <c r="AP22" s="37"/>
    </row>
    <row r="23" spans="1:42" s="38" customFormat="1" ht="18.75" customHeight="1" x14ac:dyDescent="0.25">
      <c r="A23" s="44">
        <v>46174</v>
      </c>
      <c r="B23" s="40">
        <f t="shared" si="0"/>
        <v>46174</v>
      </c>
      <c r="C23" s="41" t="s">
        <v>85</v>
      </c>
      <c r="D23" s="45" t="s">
        <v>86</v>
      </c>
      <c r="E23" s="45">
        <v>31423</v>
      </c>
      <c r="F23" s="45">
        <v>1</v>
      </c>
      <c r="G23" s="191">
        <v>20433008</v>
      </c>
      <c r="H23" s="54" t="s">
        <v>106</v>
      </c>
      <c r="I23" s="42"/>
      <c r="J23" s="43"/>
      <c r="K23" s="43">
        <f t="shared" si="1"/>
        <v>5.5</v>
      </c>
      <c r="L23" s="43"/>
      <c r="M23" s="43"/>
      <c r="N23" s="43"/>
      <c r="O23" s="43"/>
      <c r="P23" s="46">
        <v>5.5</v>
      </c>
      <c r="Q23" s="47"/>
      <c r="R23" s="40"/>
      <c r="S23" s="42"/>
      <c r="T23" s="41"/>
      <c r="U23" s="41"/>
      <c r="V23" s="48" t="s">
        <v>453</v>
      </c>
      <c r="W23" s="43"/>
      <c r="X23" s="44">
        <v>46174</v>
      </c>
      <c r="Y23" s="41" t="s">
        <v>454</v>
      </c>
      <c r="Z23" s="41"/>
      <c r="AA23" s="41"/>
      <c r="AB23" s="41" t="s">
        <v>937</v>
      </c>
      <c r="AC23" s="49"/>
      <c r="AD23" s="49">
        <v>1212</v>
      </c>
      <c r="AE23" s="50"/>
      <c r="AF23" s="51"/>
      <c r="AG23" s="51"/>
      <c r="AH23" s="52"/>
      <c r="AI23" s="52"/>
      <c r="AJ23" s="53"/>
      <c r="AK23" s="52"/>
      <c r="AL23" s="43">
        <v>18</v>
      </c>
      <c r="AM23" s="168" t="s">
        <v>938</v>
      </c>
      <c r="AN23" s="36"/>
      <c r="AO23" s="36"/>
      <c r="AP23" s="37"/>
    </row>
    <row r="24" spans="1:42" s="38" customFormat="1" ht="18.75" customHeight="1" x14ac:dyDescent="0.25">
      <c r="A24" s="44">
        <v>46174</v>
      </c>
      <c r="B24" s="40">
        <f t="shared" si="0"/>
        <v>46174</v>
      </c>
      <c r="C24" s="41" t="s">
        <v>85</v>
      </c>
      <c r="D24" s="45" t="s">
        <v>86</v>
      </c>
      <c r="E24" s="45">
        <v>31424</v>
      </c>
      <c r="F24" s="45">
        <v>1</v>
      </c>
      <c r="G24" s="191">
        <v>76413265</v>
      </c>
      <c r="H24" s="54" t="s">
        <v>107</v>
      </c>
      <c r="I24" s="42"/>
      <c r="J24" s="43"/>
      <c r="K24" s="43">
        <f t="shared" si="1"/>
        <v>7.1</v>
      </c>
      <c r="L24" s="43"/>
      <c r="M24" s="43"/>
      <c r="N24" s="43"/>
      <c r="O24" s="43"/>
      <c r="P24" s="46">
        <v>7.1</v>
      </c>
      <c r="Q24" s="47"/>
      <c r="R24" s="40"/>
      <c r="S24" s="42"/>
      <c r="T24" s="41"/>
      <c r="U24" s="41"/>
      <c r="V24" s="48" t="s">
        <v>453</v>
      </c>
      <c r="W24" s="43"/>
      <c r="X24" s="44">
        <v>46174</v>
      </c>
      <c r="Y24" s="41" t="s">
        <v>454</v>
      </c>
      <c r="Z24" s="41"/>
      <c r="AA24" s="41"/>
      <c r="AB24" s="41" t="s">
        <v>937</v>
      </c>
      <c r="AC24" s="49"/>
      <c r="AD24" s="49">
        <v>1212</v>
      </c>
      <c r="AE24" s="50"/>
      <c r="AF24" s="51"/>
      <c r="AG24" s="51"/>
      <c r="AH24" s="52"/>
      <c r="AI24" s="52"/>
      <c r="AJ24" s="53"/>
      <c r="AK24" s="52"/>
      <c r="AL24" s="43">
        <v>18</v>
      </c>
      <c r="AM24" s="168" t="s">
        <v>938</v>
      </c>
      <c r="AN24" s="36"/>
      <c r="AO24" s="36"/>
      <c r="AP24" s="37"/>
    </row>
    <row r="25" spans="1:42" s="38" customFormat="1" ht="18.75" customHeight="1" x14ac:dyDescent="0.25">
      <c r="A25" s="44">
        <v>46174</v>
      </c>
      <c r="B25" s="40">
        <f t="shared" si="0"/>
        <v>46174</v>
      </c>
      <c r="C25" s="41" t="s">
        <v>85</v>
      </c>
      <c r="D25" s="45" t="s">
        <v>86</v>
      </c>
      <c r="E25" s="45">
        <v>31425</v>
      </c>
      <c r="F25" s="45">
        <v>1</v>
      </c>
      <c r="G25" s="191">
        <v>47968389</v>
      </c>
      <c r="H25" s="54" t="s">
        <v>108</v>
      </c>
      <c r="I25" s="42"/>
      <c r="J25" s="43"/>
      <c r="K25" s="43">
        <f t="shared" si="1"/>
        <v>15</v>
      </c>
      <c r="L25" s="43"/>
      <c r="M25" s="43"/>
      <c r="N25" s="43"/>
      <c r="O25" s="43"/>
      <c r="P25" s="46">
        <v>15</v>
      </c>
      <c r="Q25" s="47"/>
      <c r="R25" s="40"/>
      <c r="S25" s="42"/>
      <c r="T25" s="41"/>
      <c r="U25" s="41"/>
      <c r="V25" s="48" t="s">
        <v>453</v>
      </c>
      <c r="W25" s="43"/>
      <c r="X25" s="44">
        <v>46174</v>
      </c>
      <c r="Y25" s="41" t="s">
        <v>454</v>
      </c>
      <c r="Z25" s="41"/>
      <c r="AA25" s="41"/>
      <c r="AB25" s="41" t="s">
        <v>937</v>
      </c>
      <c r="AC25" s="49"/>
      <c r="AD25" s="49">
        <v>1212</v>
      </c>
      <c r="AE25" s="50"/>
      <c r="AF25" s="51"/>
      <c r="AG25" s="51"/>
      <c r="AH25" s="52"/>
      <c r="AI25" s="52"/>
      <c r="AJ25" s="53"/>
      <c r="AK25" s="52"/>
      <c r="AL25" s="43">
        <v>18</v>
      </c>
      <c r="AM25" s="168" t="s">
        <v>938</v>
      </c>
      <c r="AN25" s="36"/>
      <c r="AO25" s="36"/>
      <c r="AP25" s="37"/>
    </row>
    <row r="26" spans="1:42" s="38" customFormat="1" ht="18.75" customHeight="1" x14ac:dyDescent="0.25">
      <c r="A26" s="44">
        <v>46174</v>
      </c>
      <c r="B26" s="40">
        <f t="shared" si="0"/>
        <v>46174</v>
      </c>
      <c r="C26" s="41" t="s">
        <v>85</v>
      </c>
      <c r="D26" s="45" t="s">
        <v>86</v>
      </c>
      <c r="E26" s="45">
        <v>31426</v>
      </c>
      <c r="F26" s="45">
        <v>1</v>
      </c>
      <c r="G26" s="191">
        <v>20433339</v>
      </c>
      <c r="H26" s="54" t="s">
        <v>109</v>
      </c>
      <c r="I26" s="42"/>
      <c r="J26" s="43"/>
      <c r="K26" s="43">
        <f t="shared" si="1"/>
        <v>17</v>
      </c>
      <c r="L26" s="43"/>
      <c r="M26" s="43"/>
      <c r="N26" s="43"/>
      <c r="O26" s="43"/>
      <c r="P26" s="46">
        <v>17</v>
      </c>
      <c r="Q26" s="47"/>
      <c r="R26" s="40"/>
      <c r="S26" s="42"/>
      <c r="T26" s="41"/>
      <c r="U26" s="41"/>
      <c r="V26" s="48" t="s">
        <v>453</v>
      </c>
      <c r="W26" s="43"/>
      <c r="X26" s="44">
        <v>46174</v>
      </c>
      <c r="Y26" s="41" t="s">
        <v>454</v>
      </c>
      <c r="Z26" s="41"/>
      <c r="AA26" s="41"/>
      <c r="AB26" s="41" t="s">
        <v>937</v>
      </c>
      <c r="AC26" s="49"/>
      <c r="AD26" s="49">
        <v>1212</v>
      </c>
      <c r="AE26" s="50"/>
      <c r="AF26" s="51"/>
      <c r="AG26" s="51"/>
      <c r="AH26" s="52"/>
      <c r="AI26" s="52"/>
      <c r="AJ26" s="53"/>
      <c r="AK26" s="52"/>
      <c r="AL26" s="43">
        <v>18</v>
      </c>
      <c r="AM26" s="168" t="s">
        <v>938</v>
      </c>
      <c r="AN26" s="36"/>
      <c r="AO26" s="36"/>
      <c r="AP26" s="37"/>
    </row>
    <row r="27" spans="1:42" s="38" customFormat="1" ht="18.75" customHeight="1" x14ac:dyDescent="0.25">
      <c r="A27" s="44">
        <v>46174</v>
      </c>
      <c r="B27" s="40">
        <f t="shared" si="0"/>
        <v>46174</v>
      </c>
      <c r="C27" s="41" t="s">
        <v>85</v>
      </c>
      <c r="D27" s="45" t="s">
        <v>86</v>
      </c>
      <c r="E27" s="45">
        <v>31427</v>
      </c>
      <c r="F27" s="45">
        <v>1</v>
      </c>
      <c r="G27" s="191">
        <v>71978619</v>
      </c>
      <c r="H27" s="54" t="s">
        <v>110</v>
      </c>
      <c r="I27" s="42"/>
      <c r="J27" s="43"/>
      <c r="K27" s="43">
        <f t="shared" si="1"/>
        <v>73.5</v>
      </c>
      <c r="L27" s="43"/>
      <c r="M27" s="43"/>
      <c r="N27" s="43"/>
      <c r="O27" s="43"/>
      <c r="P27" s="46">
        <v>73.5</v>
      </c>
      <c r="Q27" s="47"/>
      <c r="R27" s="40"/>
      <c r="S27" s="42"/>
      <c r="T27" s="41"/>
      <c r="U27" s="41"/>
      <c r="V27" s="48" t="s">
        <v>453</v>
      </c>
      <c r="W27" s="43"/>
      <c r="X27" s="44">
        <v>46174</v>
      </c>
      <c r="Y27" s="41" t="s">
        <v>454</v>
      </c>
      <c r="Z27" s="41"/>
      <c r="AA27" s="41"/>
      <c r="AB27" s="41" t="s">
        <v>937</v>
      </c>
      <c r="AC27" s="49"/>
      <c r="AD27" s="49">
        <v>1212</v>
      </c>
      <c r="AE27" s="50"/>
      <c r="AF27" s="51"/>
      <c r="AG27" s="51"/>
      <c r="AH27" s="52"/>
      <c r="AI27" s="52"/>
      <c r="AJ27" s="53"/>
      <c r="AK27" s="52"/>
      <c r="AL27" s="43">
        <v>18</v>
      </c>
      <c r="AM27" s="168" t="s">
        <v>938</v>
      </c>
      <c r="AN27" s="36"/>
      <c r="AO27" s="36"/>
      <c r="AP27" s="37"/>
    </row>
    <row r="28" spans="1:42" s="38" customFormat="1" ht="18.75" customHeight="1" x14ac:dyDescent="0.25">
      <c r="A28" s="44">
        <v>46174</v>
      </c>
      <c r="B28" s="40">
        <f t="shared" si="0"/>
        <v>46174</v>
      </c>
      <c r="C28" s="41" t="s">
        <v>85</v>
      </c>
      <c r="D28" s="45" t="s">
        <v>86</v>
      </c>
      <c r="E28" s="45">
        <v>31428</v>
      </c>
      <c r="F28" s="45">
        <v>1</v>
      </c>
      <c r="G28" s="191">
        <v>78018278</v>
      </c>
      <c r="H28" s="54" t="s">
        <v>111</v>
      </c>
      <c r="I28" s="42"/>
      <c r="J28" s="43"/>
      <c r="K28" s="43">
        <f t="shared" si="1"/>
        <v>7.5</v>
      </c>
      <c r="L28" s="43"/>
      <c r="M28" s="43"/>
      <c r="N28" s="43"/>
      <c r="O28" s="43"/>
      <c r="P28" s="46">
        <v>7.5</v>
      </c>
      <c r="Q28" s="47"/>
      <c r="R28" s="40"/>
      <c r="S28" s="42"/>
      <c r="T28" s="41"/>
      <c r="U28" s="41"/>
      <c r="V28" s="48" t="s">
        <v>453</v>
      </c>
      <c r="W28" s="43"/>
      <c r="X28" s="44">
        <v>46174</v>
      </c>
      <c r="Y28" s="41" t="s">
        <v>454</v>
      </c>
      <c r="Z28" s="41"/>
      <c r="AA28" s="41"/>
      <c r="AB28" s="41" t="s">
        <v>937</v>
      </c>
      <c r="AC28" s="49"/>
      <c r="AD28" s="49">
        <v>1212</v>
      </c>
      <c r="AE28" s="50"/>
      <c r="AF28" s="51"/>
      <c r="AG28" s="51"/>
      <c r="AH28" s="52"/>
      <c r="AI28" s="52"/>
      <c r="AJ28" s="53"/>
      <c r="AK28" s="52"/>
      <c r="AL28" s="43">
        <v>18</v>
      </c>
      <c r="AM28" s="168" t="s">
        <v>938</v>
      </c>
      <c r="AN28" s="36"/>
      <c r="AO28" s="36"/>
      <c r="AP28" s="37"/>
    </row>
    <row r="29" spans="1:42" s="38" customFormat="1" ht="18.75" customHeight="1" x14ac:dyDescent="0.25">
      <c r="A29" s="44">
        <v>46174</v>
      </c>
      <c r="B29" s="40">
        <f t="shared" si="0"/>
        <v>46174</v>
      </c>
      <c r="C29" s="41" t="s">
        <v>85</v>
      </c>
      <c r="D29" s="45" t="s">
        <v>86</v>
      </c>
      <c r="E29" s="45">
        <v>31429</v>
      </c>
      <c r="F29" s="45">
        <v>1</v>
      </c>
      <c r="G29" s="191">
        <v>73959872</v>
      </c>
      <c r="H29" s="54" t="s">
        <v>112</v>
      </c>
      <c r="I29" s="42"/>
      <c r="J29" s="43"/>
      <c r="K29" s="43">
        <f t="shared" si="1"/>
        <v>10</v>
      </c>
      <c r="L29" s="43"/>
      <c r="M29" s="43"/>
      <c r="N29" s="43"/>
      <c r="O29" s="43"/>
      <c r="P29" s="46">
        <v>10</v>
      </c>
      <c r="Q29" s="47"/>
      <c r="R29" s="40"/>
      <c r="S29" s="42"/>
      <c r="T29" s="41"/>
      <c r="U29" s="41"/>
      <c r="V29" s="48" t="s">
        <v>453</v>
      </c>
      <c r="W29" s="43"/>
      <c r="X29" s="44">
        <v>46174</v>
      </c>
      <c r="Y29" s="41" t="s">
        <v>454</v>
      </c>
      <c r="Z29" s="41"/>
      <c r="AA29" s="41"/>
      <c r="AB29" s="41" t="s">
        <v>937</v>
      </c>
      <c r="AC29" s="49"/>
      <c r="AD29" s="49">
        <v>1212</v>
      </c>
      <c r="AE29" s="50"/>
      <c r="AF29" s="51"/>
      <c r="AG29" s="51"/>
      <c r="AH29" s="52"/>
      <c r="AI29" s="52"/>
      <c r="AJ29" s="53"/>
      <c r="AK29" s="52"/>
      <c r="AL29" s="43">
        <v>18</v>
      </c>
      <c r="AM29" s="168" t="s">
        <v>938</v>
      </c>
      <c r="AN29" s="36"/>
      <c r="AO29" s="36"/>
      <c r="AP29" s="37"/>
    </row>
    <row r="30" spans="1:42" s="38" customFormat="1" ht="18.75" customHeight="1" x14ac:dyDescent="0.25">
      <c r="A30" s="44">
        <v>46174</v>
      </c>
      <c r="B30" s="40">
        <f t="shared" si="0"/>
        <v>46174</v>
      </c>
      <c r="C30" s="41" t="s">
        <v>85</v>
      </c>
      <c r="D30" s="45" t="s">
        <v>86</v>
      </c>
      <c r="E30" s="45">
        <v>31430</v>
      </c>
      <c r="F30" s="45">
        <v>1</v>
      </c>
      <c r="G30" s="191">
        <v>44362098</v>
      </c>
      <c r="H30" s="54" t="s">
        <v>113</v>
      </c>
      <c r="I30" s="42"/>
      <c r="J30" s="43"/>
      <c r="K30" s="43">
        <f t="shared" si="1"/>
        <v>11</v>
      </c>
      <c r="L30" s="43"/>
      <c r="M30" s="43"/>
      <c r="N30" s="43"/>
      <c r="O30" s="43"/>
      <c r="P30" s="46">
        <v>11</v>
      </c>
      <c r="Q30" s="47"/>
      <c r="R30" s="40"/>
      <c r="S30" s="42"/>
      <c r="T30" s="41"/>
      <c r="U30" s="41"/>
      <c r="V30" s="48" t="s">
        <v>453</v>
      </c>
      <c r="W30" s="43"/>
      <c r="X30" s="44">
        <v>46174</v>
      </c>
      <c r="Y30" s="41" t="s">
        <v>454</v>
      </c>
      <c r="Z30" s="41"/>
      <c r="AA30" s="41"/>
      <c r="AB30" s="41" t="s">
        <v>937</v>
      </c>
      <c r="AC30" s="49"/>
      <c r="AD30" s="49">
        <v>1212</v>
      </c>
      <c r="AE30" s="50"/>
      <c r="AF30" s="51"/>
      <c r="AG30" s="51"/>
      <c r="AH30" s="52"/>
      <c r="AI30" s="52"/>
      <c r="AJ30" s="53"/>
      <c r="AK30" s="52"/>
      <c r="AL30" s="43">
        <v>18</v>
      </c>
      <c r="AM30" s="168" t="s">
        <v>938</v>
      </c>
      <c r="AN30" s="36"/>
      <c r="AO30" s="36"/>
      <c r="AP30" s="37"/>
    </row>
    <row r="31" spans="1:42" s="38" customFormat="1" ht="18.75" customHeight="1" x14ac:dyDescent="0.25">
      <c r="A31" s="44">
        <v>46175</v>
      </c>
      <c r="B31" s="40">
        <f t="shared" si="0"/>
        <v>46175</v>
      </c>
      <c r="C31" s="41" t="s">
        <v>85</v>
      </c>
      <c r="D31" s="45" t="s">
        <v>86</v>
      </c>
      <c r="E31" s="45">
        <v>31431</v>
      </c>
      <c r="F31" s="45">
        <v>1</v>
      </c>
      <c r="G31" s="191">
        <v>16535704</v>
      </c>
      <c r="H31" s="54" t="s">
        <v>114</v>
      </c>
      <c r="I31" s="42"/>
      <c r="J31" s="43"/>
      <c r="K31" s="43">
        <f t="shared" si="1"/>
        <v>18.3</v>
      </c>
      <c r="L31" s="43"/>
      <c r="M31" s="43"/>
      <c r="N31" s="43"/>
      <c r="O31" s="43"/>
      <c r="P31" s="46">
        <v>18.3</v>
      </c>
      <c r="Q31" s="47"/>
      <c r="R31" s="40"/>
      <c r="S31" s="42"/>
      <c r="T31" s="41"/>
      <c r="U31" s="41"/>
      <c r="V31" s="48" t="s">
        <v>453</v>
      </c>
      <c r="W31" s="43"/>
      <c r="X31" s="44">
        <v>46175</v>
      </c>
      <c r="Y31" s="41" t="s">
        <v>454</v>
      </c>
      <c r="Z31" s="41"/>
      <c r="AA31" s="41"/>
      <c r="AB31" s="41" t="s">
        <v>937</v>
      </c>
      <c r="AC31" s="49"/>
      <c r="AD31" s="49">
        <v>1212</v>
      </c>
      <c r="AE31" s="50"/>
      <c r="AF31" s="51"/>
      <c r="AG31" s="51"/>
      <c r="AH31" s="52"/>
      <c r="AI31" s="52"/>
      <c r="AJ31" s="53"/>
      <c r="AK31" s="52"/>
      <c r="AL31" s="43">
        <v>18</v>
      </c>
      <c r="AM31" s="168" t="s">
        <v>938</v>
      </c>
      <c r="AN31" s="36"/>
      <c r="AO31" s="36"/>
      <c r="AP31" s="37"/>
    </row>
    <row r="32" spans="1:42" s="38" customFormat="1" ht="18.75" customHeight="1" x14ac:dyDescent="0.25">
      <c r="A32" s="44">
        <v>46175</v>
      </c>
      <c r="B32" s="40">
        <f t="shared" si="0"/>
        <v>46175</v>
      </c>
      <c r="C32" s="41" t="s">
        <v>85</v>
      </c>
      <c r="D32" s="45" t="s">
        <v>86</v>
      </c>
      <c r="E32" s="45">
        <v>31432</v>
      </c>
      <c r="F32" s="45">
        <v>6</v>
      </c>
      <c r="G32" s="191">
        <v>20613215051</v>
      </c>
      <c r="H32" s="54" t="s">
        <v>115</v>
      </c>
      <c r="I32" s="42"/>
      <c r="J32" s="43"/>
      <c r="K32" s="43">
        <f t="shared" si="1"/>
        <v>5</v>
      </c>
      <c r="L32" s="43"/>
      <c r="M32" s="43"/>
      <c r="N32" s="43"/>
      <c r="O32" s="43"/>
      <c r="P32" s="46">
        <v>5</v>
      </c>
      <c r="Q32" s="47"/>
      <c r="R32" s="40"/>
      <c r="S32" s="42"/>
      <c r="T32" s="41"/>
      <c r="U32" s="41"/>
      <c r="V32" s="48" t="s">
        <v>453</v>
      </c>
      <c r="W32" s="43"/>
      <c r="X32" s="44">
        <v>46175</v>
      </c>
      <c r="Y32" s="41" t="s">
        <v>454</v>
      </c>
      <c r="Z32" s="41"/>
      <c r="AA32" s="41"/>
      <c r="AB32" s="41" t="s">
        <v>937</v>
      </c>
      <c r="AC32" s="49"/>
      <c r="AD32" s="49">
        <v>1212</v>
      </c>
      <c r="AE32" s="50"/>
      <c r="AF32" s="51"/>
      <c r="AG32" s="51"/>
      <c r="AH32" s="52"/>
      <c r="AI32" s="52"/>
      <c r="AJ32" s="53"/>
      <c r="AK32" s="52"/>
      <c r="AL32" s="43">
        <v>18</v>
      </c>
      <c r="AM32" s="168" t="s">
        <v>938</v>
      </c>
      <c r="AN32" s="36"/>
      <c r="AO32" s="36"/>
      <c r="AP32" s="37"/>
    </row>
    <row r="33" spans="1:42" s="38" customFormat="1" ht="18.75" customHeight="1" x14ac:dyDescent="0.25">
      <c r="A33" s="44">
        <v>46175</v>
      </c>
      <c r="B33" s="40">
        <f t="shared" si="0"/>
        <v>46175</v>
      </c>
      <c r="C33" s="41" t="s">
        <v>85</v>
      </c>
      <c r="D33" s="45" t="s">
        <v>86</v>
      </c>
      <c r="E33" s="45">
        <v>31433</v>
      </c>
      <c r="F33" s="45">
        <v>6</v>
      </c>
      <c r="G33" s="191">
        <v>20568173016</v>
      </c>
      <c r="H33" s="54" t="s">
        <v>116</v>
      </c>
      <c r="I33" s="42"/>
      <c r="J33" s="43"/>
      <c r="K33" s="43">
        <f t="shared" si="1"/>
        <v>15</v>
      </c>
      <c r="L33" s="43"/>
      <c r="M33" s="43"/>
      <c r="N33" s="43"/>
      <c r="O33" s="43"/>
      <c r="P33" s="46">
        <v>15</v>
      </c>
      <c r="Q33" s="47"/>
      <c r="R33" s="40"/>
      <c r="S33" s="42"/>
      <c r="T33" s="41"/>
      <c r="U33" s="41"/>
      <c r="V33" s="48" t="s">
        <v>453</v>
      </c>
      <c r="W33" s="43"/>
      <c r="X33" s="44">
        <v>46175</v>
      </c>
      <c r="Y33" s="41" t="s">
        <v>454</v>
      </c>
      <c r="Z33" s="41"/>
      <c r="AA33" s="41"/>
      <c r="AB33" s="41" t="s">
        <v>937</v>
      </c>
      <c r="AC33" s="49"/>
      <c r="AD33" s="49">
        <v>1212</v>
      </c>
      <c r="AE33" s="50"/>
      <c r="AF33" s="51"/>
      <c r="AG33" s="51"/>
      <c r="AH33" s="52"/>
      <c r="AI33" s="52"/>
      <c r="AJ33" s="53"/>
      <c r="AK33" s="52"/>
      <c r="AL33" s="43">
        <v>18</v>
      </c>
      <c r="AM33" s="168" t="s">
        <v>938</v>
      </c>
      <c r="AN33" s="36"/>
      <c r="AO33" s="36"/>
      <c r="AP33" s="37"/>
    </row>
    <row r="34" spans="1:42" s="38" customFormat="1" ht="18.75" customHeight="1" x14ac:dyDescent="0.25">
      <c r="A34" s="44">
        <v>46175</v>
      </c>
      <c r="B34" s="40">
        <f t="shared" si="0"/>
        <v>46175</v>
      </c>
      <c r="C34" s="41" t="s">
        <v>85</v>
      </c>
      <c r="D34" s="45" t="s">
        <v>86</v>
      </c>
      <c r="E34" s="45">
        <v>31434</v>
      </c>
      <c r="F34" s="45">
        <v>6</v>
      </c>
      <c r="G34" s="191">
        <v>20602228739</v>
      </c>
      <c r="H34" s="54" t="s">
        <v>117</v>
      </c>
      <c r="I34" s="42"/>
      <c r="J34" s="43"/>
      <c r="K34" s="43">
        <f t="shared" si="1"/>
        <v>17</v>
      </c>
      <c r="L34" s="43"/>
      <c r="M34" s="43"/>
      <c r="N34" s="43"/>
      <c r="O34" s="43"/>
      <c r="P34" s="46">
        <v>17</v>
      </c>
      <c r="Q34" s="47"/>
      <c r="R34" s="40"/>
      <c r="S34" s="42"/>
      <c r="T34" s="41"/>
      <c r="U34" s="41"/>
      <c r="V34" s="48" t="s">
        <v>453</v>
      </c>
      <c r="W34" s="43"/>
      <c r="X34" s="44">
        <v>46175</v>
      </c>
      <c r="Y34" s="41" t="s">
        <v>454</v>
      </c>
      <c r="Z34" s="41"/>
      <c r="AA34" s="41"/>
      <c r="AB34" s="41" t="s">
        <v>937</v>
      </c>
      <c r="AC34" s="49"/>
      <c r="AD34" s="49">
        <v>1212</v>
      </c>
      <c r="AE34" s="50"/>
      <c r="AF34" s="51"/>
      <c r="AG34" s="51"/>
      <c r="AH34" s="52"/>
      <c r="AI34" s="52"/>
      <c r="AJ34" s="53"/>
      <c r="AK34" s="52"/>
      <c r="AL34" s="43">
        <v>18</v>
      </c>
      <c r="AM34" s="168" t="s">
        <v>938</v>
      </c>
      <c r="AN34" s="36"/>
      <c r="AO34" s="36"/>
      <c r="AP34" s="37"/>
    </row>
    <row r="35" spans="1:42" s="38" customFormat="1" ht="18.75" customHeight="1" x14ac:dyDescent="0.25">
      <c r="A35" s="44">
        <v>46175</v>
      </c>
      <c r="B35" s="40">
        <f t="shared" si="0"/>
        <v>46175</v>
      </c>
      <c r="C35" s="41" t="s">
        <v>85</v>
      </c>
      <c r="D35" s="45" t="s">
        <v>86</v>
      </c>
      <c r="E35" s="45">
        <v>31435</v>
      </c>
      <c r="F35" s="45">
        <v>6</v>
      </c>
      <c r="G35" s="191">
        <v>20518164717</v>
      </c>
      <c r="H35" s="54" t="s">
        <v>118</v>
      </c>
      <c r="I35" s="42"/>
      <c r="J35" s="43"/>
      <c r="K35" s="43">
        <f t="shared" si="1"/>
        <v>38.299999999999997</v>
      </c>
      <c r="L35" s="43"/>
      <c r="M35" s="43"/>
      <c r="N35" s="43"/>
      <c r="O35" s="43"/>
      <c r="P35" s="46">
        <v>38.299999999999997</v>
      </c>
      <c r="Q35" s="47"/>
      <c r="R35" s="40"/>
      <c r="S35" s="42"/>
      <c r="T35" s="41"/>
      <c r="U35" s="41"/>
      <c r="V35" s="48" t="s">
        <v>453</v>
      </c>
      <c r="W35" s="43"/>
      <c r="X35" s="44">
        <v>46175</v>
      </c>
      <c r="Y35" s="41" t="s">
        <v>454</v>
      </c>
      <c r="Z35" s="41"/>
      <c r="AA35" s="41"/>
      <c r="AB35" s="41" t="s">
        <v>937</v>
      </c>
      <c r="AC35" s="49"/>
      <c r="AD35" s="49">
        <v>1212</v>
      </c>
      <c r="AE35" s="50"/>
      <c r="AF35" s="51"/>
      <c r="AG35" s="51"/>
      <c r="AH35" s="52"/>
      <c r="AI35" s="52"/>
      <c r="AJ35" s="53"/>
      <c r="AK35" s="52"/>
      <c r="AL35" s="43">
        <v>18</v>
      </c>
      <c r="AM35" s="168" t="s">
        <v>938</v>
      </c>
      <c r="AN35" s="36"/>
      <c r="AO35" s="36"/>
      <c r="AP35" s="37"/>
    </row>
    <row r="36" spans="1:42" s="38" customFormat="1" ht="18.75" customHeight="1" x14ac:dyDescent="0.25">
      <c r="A36" s="44">
        <v>46175</v>
      </c>
      <c r="B36" s="40">
        <f t="shared" si="0"/>
        <v>46175</v>
      </c>
      <c r="C36" s="41" t="s">
        <v>85</v>
      </c>
      <c r="D36" s="45" t="s">
        <v>86</v>
      </c>
      <c r="E36" s="45">
        <v>31436</v>
      </c>
      <c r="F36" s="45">
        <v>6</v>
      </c>
      <c r="G36" s="191">
        <v>20518164717</v>
      </c>
      <c r="H36" s="54" t="s">
        <v>118</v>
      </c>
      <c r="I36" s="42"/>
      <c r="J36" s="43"/>
      <c r="K36" s="43">
        <f t="shared" si="1"/>
        <v>0.7</v>
      </c>
      <c r="L36" s="43"/>
      <c r="M36" s="43"/>
      <c r="N36" s="43"/>
      <c r="O36" s="43"/>
      <c r="P36" s="46">
        <v>0.7</v>
      </c>
      <c r="Q36" s="47"/>
      <c r="R36" s="40"/>
      <c r="S36" s="42"/>
      <c r="T36" s="41"/>
      <c r="U36" s="41"/>
      <c r="V36" s="48" t="s">
        <v>453</v>
      </c>
      <c r="W36" s="43"/>
      <c r="X36" s="44">
        <v>46175</v>
      </c>
      <c r="Y36" s="41" t="s">
        <v>454</v>
      </c>
      <c r="Z36" s="41"/>
      <c r="AA36" s="41"/>
      <c r="AB36" s="41" t="s">
        <v>937</v>
      </c>
      <c r="AC36" s="49"/>
      <c r="AD36" s="49">
        <v>1212</v>
      </c>
      <c r="AE36" s="50"/>
      <c r="AF36" s="51"/>
      <c r="AG36" s="51"/>
      <c r="AH36" s="52"/>
      <c r="AI36" s="52"/>
      <c r="AJ36" s="53"/>
      <c r="AK36" s="52"/>
      <c r="AL36" s="43">
        <v>18</v>
      </c>
      <c r="AM36" s="168" t="s">
        <v>938</v>
      </c>
      <c r="AN36" s="36"/>
      <c r="AO36" s="36"/>
      <c r="AP36" s="37"/>
    </row>
    <row r="37" spans="1:42" s="38" customFormat="1" ht="18.75" customHeight="1" x14ac:dyDescent="0.25">
      <c r="A37" s="44">
        <v>46175</v>
      </c>
      <c r="B37" s="40">
        <f t="shared" si="0"/>
        <v>46175</v>
      </c>
      <c r="C37" s="41" t="s">
        <v>85</v>
      </c>
      <c r="D37" s="45" t="s">
        <v>86</v>
      </c>
      <c r="E37" s="45">
        <v>31437</v>
      </c>
      <c r="F37" s="45">
        <v>1</v>
      </c>
      <c r="G37" s="191">
        <v>21138263</v>
      </c>
      <c r="H37" s="54" t="s">
        <v>119</v>
      </c>
      <c r="I37" s="42"/>
      <c r="J37" s="43"/>
      <c r="K37" s="43">
        <f t="shared" si="1"/>
        <v>102.2</v>
      </c>
      <c r="L37" s="43"/>
      <c r="M37" s="43"/>
      <c r="N37" s="43"/>
      <c r="O37" s="43"/>
      <c r="P37" s="46">
        <v>102.2</v>
      </c>
      <c r="Q37" s="47"/>
      <c r="R37" s="40"/>
      <c r="S37" s="42"/>
      <c r="T37" s="41"/>
      <c r="U37" s="41"/>
      <c r="V37" s="48" t="s">
        <v>453</v>
      </c>
      <c r="W37" s="43"/>
      <c r="X37" s="44">
        <v>46175</v>
      </c>
      <c r="Y37" s="41" t="s">
        <v>454</v>
      </c>
      <c r="Z37" s="41"/>
      <c r="AA37" s="41"/>
      <c r="AB37" s="41" t="s">
        <v>937</v>
      </c>
      <c r="AC37" s="49"/>
      <c r="AD37" s="49">
        <v>1212</v>
      </c>
      <c r="AE37" s="50"/>
      <c r="AF37" s="51"/>
      <c r="AG37" s="51"/>
      <c r="AH37" s="52"/>
      <c r="AI37" s="52"/>
      <c r="AJ37" s="53"/>
      <c r="AK37" s="52"/>
      <c r="AL37" s="43">
        <v>18</v>
      </c>
      <c r="AM37" s="168" t="s">
        <v>938</v>
      </c>
      <c r="AN37" s="36"/>
      <c r="AO37" s="36"/>
      <c r="AP37" s="37"/>
    </row>
    <row r="38" spans="1:42" s="38" customFormat="1" ht="18.75" customHeight="1" x14ac:dyDescent="0.25">
      <c r="A38" s="44">
        <v>46175</v>
      </c>
      <c r="B38" s="40">
        <f t="shared" si="0"/>
        <v>46175</v>
      </c>
      <c r="C38" s="41" t="s">
        <v>85</v>
      </c>
      <c r="D38" s="45" t="s">
        <v>86</v>
      </c>
      <c r="E38" s="45">
        <v>31438</v>
      </c>
      <c r="F38" s="45">
        <v>1</v>
      </c>
      <c r="G38" s="191">
        <v>20109803</v>
      </c>
      <c r="H38" s="54" t="s">
        <v>120</v>
      </c>
      <c r="I38" s="42"/>
      <c r="J38" s="43"/>
      <c r="K38" s="43">
        <f t="shared" si="1"/>
        <v>25</v>
      </c>
      <c r="L38" s="43"/>
      <c r="M38" s="43"/>
      <c r="N38" s="43"/>
      <c r="O38" s="43"/>
      <c r="P38" s="46">
        <v>25</v>
      </c>
      <c r="Q38" s="47"/>
      <c r="R38" s="40"/>
      <c r="S38" s="42"/>
      <c r="T38" s="41"/>
      <c r="U38" s="41"/>
      <c r="V38" s="48" t="s">
        <v>453</v>
      </c>
      <c r="W38" s="43"/>
      <c r="X38" s="44">
        <v>46175</v>
      </c>
      <c r="Y38" s="41" t="s">
        <v>454</v>
      </c>
      <c r="Z38" s="41"/>
      <c r="AA38" s="41"/>
      <c r="AB38" s="41" t="s">
        <v>937</v>
      </c>
      <c r="AC38" s="49"/>
      <c r="AD38" s="49">
        <v>1212</v>
      </c>
      <c r="AE38" s="50"/>
      <c r="AF38" s="51"/>
      <c r="AG38" s="51"/>
      <c r="AH38" s="52"/>
      <c r="AI38" s="52"/>
      <c r="AJ38" s="53"/>
      <c r="AK38" s="52"/>
      <c r="AL38" s="43">
        <v>18</v>
      </c>
      <c r="AM38" s="168" t="s">
        <v>938</v>
      </c>
      <c r="AN38" s="36"/>
      <c r="AO38" s="36"/>
      <c r="AP38" s="37"/>
    </row>
    <row r="39" spans="1:42" s="38" customFormat="1" ht="18.75" customHeight="1" x14ac:dyDescent="0.25">
      <c r="A39" s="44">
        <v>46175</v>
      </c>
      <c r="B39" s="40">
        <f t="shared" si="0"/>
        <v>46175</v>
      </c>
      <c r="C39" s="41" t="s">
        <v>85</v>
      </c>
      <c r="D39" s="45" t="s">
        <v>86</v>
      </c>
      <c r="E39" s="45">
        <v>31439</v>
      </c>
      <c r="F39" s="45">
        <v>1</v>
      </c>
      <c r="G39" s="191">
        <v>19906076</v>
      </c>
      <c r="H39" s="54" t="s">
        <v>121</v>
      </c>
      <c r="I39" s="42"/>
      <c r="J39" s="43"/>
      <c r="K39" s="43">
        <f t="shared" si="1"/>
        <v>50</v>
      </c>
      <c r="L39" s="43"/>
      <c r="M39" s="43"/>
      <c r="N39" s="43"/>
      <c r="O39" s="43"/>
      <c r="P39" s="46">
        <v>50</v>
      </c>
      <c r="Q39" s="47"/>
      <c r="R39" s="40"/>
      <c r="S39" s="42"/>
      <c r="T39" s="41"/>
      <c r="U39" s="41"/>
      <c r="V39" s="48" t="s">
        <v>453</v>
      </c>
      <c r="W39" s="43"/>
      <c r="X39" s="44">
        <v>46175</v>
      </c>
      <c r="Y39" s="41" t="s">
        <v>454</v>
      </c>
      <c r="Z39" s="41"/>
      <c r="AA39" s="41"/>
      <c r="AB39" s="41" t="s">
        <v>937</v>
      </c>
      <c r="AC39" s="49"/>
      <c r="AD39" s="49">
        <v>1212</v>
      </c>
      <c r="AE39" s="50"/>
      <c r="AF39" s="51"/>
      <c r="AG39" s="51"/>
      <c r="AH39" s="52"/>
      <c r="AI39" s="52"/>
      <c r="AJ39" s="53"/>
      <c r="AK39" s="52"/>
      <c r="AL39" s="43">
        <v>18</v>
      </c>
      <c r="AM39" s="168" t="s">
        <v>938</v>
      </c>
      <c r="AN39" s="36"/>
      <c r="AO39" s="36"/>
      <c r="AP39" s="37"/>
    </row>
    <row r="40" spans="1:42" s="38" customFormat="1" ht="18.75" customHeight="1" x14ac:dyDescent="0.25">
      <c r="A40" s="44">
        <v>46175</v>
      </c>
      <c r="B40" s="40">
        <f t="shared" si="0"/>
        <v>46175</v>
      </c>
      <c r="C40" s="41" t="s">
        <v>85</v>
      </c>
      <c r="D40" s="45" t="s">
        <v>86</v>
      </c>
      <c r="E40" s="45">
        <v>31440</v>
      </c>
      <c r="F40" s="45">
        <v>1</v>
      </c>
      <c r="G40" s="191">
        <v>46449918</v>
      </c>
      <c r="H40" s="54" t="s">
        <v>122</v>
      </c>
      <c r="I40" s="42"/>
      <c r="J40" s="43"/>
      <c r="K40" s="43">
        <f t="shared" si="1"/>
        <v>13</v>
      </c>
      <c r="L40" s="43"/>
      <c r="M40" s="43"/>
      <c r="N40" s="43"/>
      <c r="O40" s="43"/>
      <c r="P40" s="46">
        <v>13</v>
      </c>
      <c r="Q40" s="47"/>
      <c r="R40" s="40"/>
      <c r="S40" s="42"/>
      <c r="T40" s="41"/>
      <c r="U40" s="41"/>
      <c r="V40" s="48" t="s">
        <v>453</v>
      </c>
      <c r="W40" s="43"/>
      <c r="X40" s="44">
        <v>46175</v>
      </c>
      <c r="Y40" s="41" t="s">
        <v>454</v>
      </c>
      <c r="Z40" s="41"/>
      <c r="AA40" s="41"/>
      <c r="AB40" s="41" t="s">
        <v>937</v>
      </c>
      <c r="AC40" s="49"/>
      <c r="AD40" s="49">
        <v>1212</v>
      </c>
      <c r="AE40" s="50"/>
      <c r="AF40" s="51"/>
      <c r="AG40" s="51"/>
      <c r="AH40" s="52"/>
      <c r="AI40" s="52"/>
      <c r="AJ40" s="53"/>
      <c r="AK40" s="52"/>
      <c r="AL40" s="43">
        <v>18</v>
      </c>
      <c r="AM40" s="168" t="s">
        <v>938</v>
      </c>
      <c r="AN40" s="36"/>
      <c r="AO40" s="36"/>
      <c r="AP40" s="37"/>
    </row>
    <row r="41" spans="1:42" s="38" customFormat="1" ht="18.75" customHeight="1" x14ac:dyDescent="0.25">
      <c r="A41" s="44">
        <v>46175</v>
      </c>
      <c r="B41" s="40">
        <f t="shared" si="0"/>
        <v>46175</v>
      </c>
      <c r="C41" s="41" t="s">
        <v>85</v>
      </c>
      <c r="D41" s="45" t="s">
        <v>86</v>
      </c>
      <c r="E41" s="45">
        <v>31441</v>
      </c>
      <c r="F41" s="45">
        <v>1</v>
      </c>
      <c r="G41" s="191">
        <v>46260545</v>
      </c>
      <c r="H41" s="54" t="s">
        <v>123</v>
      </c>
      <c r="I41" s="42"/>
      <c r="J41" s="43"/>
      <c r="K41" s="43">
        <f t="shared" si="1"/>
        <v>10</v>
      </c>
      <c r="L41" s="43"/>
      <c r="M41" s="43"/>
      <c r="N41" s="43"/>
      <c r="O41" s="43"/>
      <c r="P41" s="46">
        <v>10</v>
      </c>
      <c r="Q41" s="47"/>
      <c r="R41" s="40"/>
      <c r="S41" s="42"/>
      <c r="T41" s="41"/>
      <c r="U41" s="41"/>
      <c r="V41" s="48" t="s">
        <v>453</v>
      </c>
      <c r="W41" s="43"/>
      <c r="X41" s="44">
        <v>46175</v>
      </c>
      <c r="Y41" s="41" t="s">
        <v>454</v>
      </c>
      <c r="Z41" s="41"/>
      <c r="AA41" s="41"/>
      <c r="AB41" s="41" t="s">
        <v>937</v>
      </c>
      <c r="AC41" s="49"/>
      <c r="AD41" s="49">
        <v>1212</v>
      </c>
      <c r="AE41" s="50"/>
      <c r="AF41" s="51"/>
      <c r="AG41" s="51"/>
      <c r="AH41" s="52"/>
      <c r="AI41" s="52"/>
      <c r="AJ41" s="53"/>
      <c r="AK41" s="52"/>
      <c r="AL41" s="43">
        <v>18</v>
      </c>
      <c r="AM41" s="168" t="s">
        <v>938</v>
      </c>
      <c r="AN41" s="36"/>
      <c r="AO41" s="36"/>
      <c r="AP41" s="37"/>
    </row>
    <row r="42" spans="1:42" s="38" customFormat="1" ht="18.75" customHeight="1" x14ac:dyDescent="0.25">
      <c r="A42" s="44">
        <v>46175</v>
      </c>
      <c r="B42" s="40">
        <f t="shared" si="0"/>
        <v>46175</v>
      </c>
      <c r="C42" s="41" t="s">
        <v>85</v>
      </c>
      <c r="D42" s="45" t="s">
        <v>86</v>
      </c>
      <c r="E42" s="45">
        <v>31442</v>
      </c>
      <c r="F42" s="45">
        <v>1</v>
      </c>
      <c r="G42" s="191">
        <v>74042094</v>
      </c>
      <c r="H42" s="54" t="s">
        <v>124</v>
      </c>
      <c r="I42" s="42"/>
      <c r="J42" s="43"/>
      <c r="K42" s="43">
        <f t="shared" si="1"/>
        <v>5</v>
      </c>
      <c r="L42" s="43"/>
      <c r="M42" s="43"/>
      <c r="N42" s="43"/>
      <c r="O42" s="43"/>
      <c r="P42" s="46">
        <v>5</v>
      </c>
      <c r="Q42" s="47"/>
      <c r="R42" s="40"/>
      <c r="S42" s="42"/>
      <c r="T42" s="41"/>
      <c r="U42" s="41"/>
      <c r="V42" s="48" t="s">
        <v>453</v>
      </c>
      <c r="W42" s="43"/>
      <c r="X42" s="44">
        <v>46175</v>
      </c>
      <c r="Y42" s="41" t="s">
        <v>454</v>
      </c>
      <c r="Z42" s="41"/>
      <c r="AA42" s="41"/>
      <c r="AB42" s="41" t="s">
        <v>937</v>
      </c>
      <c r="AC42" s="49"/>
      <c r="AD42" s="49">
        <v>1212</v>
      </c>
      <c r="AE42" s="50"/>
      <c r="AF42" s="51"/>
      <c r="AG42" s="51"/>
      <c r="AH42" s="52"/>
      <c r="AI42" s="52"/>
      <c r="AJ42" s="53"/>
      <c r="AK42" s="52"/>
      <c r="AL42" s="43">
        <v>18</v>
      </c>
      <c r="AM42" s="168" t="s">
        <v>938</v>
      </c>
      <c r="AN42" s="36"/>
      <c r="AO42" s="36"/>
      <c r="AP42" s="37"/>
    </row>
    <row r="43" spans="1:42" s="38" customFormat="1" ht="18.75" customHeight="1" x14ac:dyDescent="0.25">
      <c r="A43" s="44">
        <v>46175</v>
      </c>
      <c r="B43" s="40">
        <f t="shared" si="0"/>
        <v>46175</v>
      </c>
      <c r="C43" s="41" t="s">
        <v>85</v>
      </c>
      <c r="D43" s="45" t="s">
        <v>86</v>
      </c>
      <c r="E43" s="45">
        <v>31443</v>
      </c>
      <c r="F43" s="45">
        <v>1</v>
      </c>
      <c r="G43" s="191">
        <v>43804871</v>
      </c>
      <c r="H43" s="54" t="s">
        <v>125</v>
      </c>
      <c r="I43" s="42"/>
      <c r="J43" s="43"/>
      <c r="K43" s="43">
        <f t="shared" si="1"/>
        <v>50</v>
      </c>
      <c r="L43" s="43"/>
      <c r="M43" s="43"/>
      <c r="N43" s="43"/>
      <c r="O43" s="43"/>
      <c r="P43" s="46">
        <v>50</v>
      </c>
      <c r="Q43" s="47"/>
      <c r="R43" s="40"/>
      <c r="S43" s="42"/>
      <c r="T43" s="41"/>
      <c r="U43" s="41"/>
      <c r="V43" s="48" t="s">
        <v>453</v>
      </c>
      <c r="W43" s="43"/>
      <c r="X43" s="44">
        <v>46175</v>
      </c>
      <c r="Y43" s="41" t="s">
        <v>454</v>
      </c>
      <c r="Z43" s="41"/>
      <c r="AA43" s="41"/>
      <c r="AB43" s="41" t="s">
        <v>937</v>
      </c>
      <c r="AC43" s="49"/>
      <c r="AD43" s="49">
        <v>1212</v>
      </c>
      <c r="AE43" s="50"/>
      <c r="AF43" s="51"/>
      <c r="AG43" s="51"/>
      <c r="AH43" s="52"/>
      <c r="AI43" s="52"/>
      <c r="AJ43" s="53"/>
      <c r="AK43" s="52"/>
      <c r="AL43" s="43">
        <v>18</v>
      </c>
      <c r="AM43" s="168" t="s">
        <v>938</v>
      </c>
      <c r="AN43" s="36"/>
      <c r="AO43" s="36"/>
      <c r="AP43" s="37"/>
    </row>
    <row r="44" spans="1:42" s="190" customFormat="1" ht="18.75" customHeight="1" x14ac:dyDescent="0.25">
      <c r="A44" s="172">
        <v>46175</v>
      </c>
      <c r="B44" s="173">
        <f t="shared" si="0"/>
        <v>46175</v>
      </c>
      <c r="C44" s="174" t="s">
        <v>85</v>
      </c>
      <c r="D44" s="175" t="s">
        <v>86</v>
      </c>
      <c r="E44" s="175">
        <v>31444</v>
      </c>
      <c r="F44" s="175">
        <v>1</v>
      </c>
      <c r="G44" s="192" t="s">
        <v>925</v>
      </c>
      <c r="H44" s="176" t="s">
        <v>126</v>
      </c>
      <c r="I44" s="177"/>
      <c r="J44" s="178"/>
      <c r="K44" s="178">
        <f t="shared" si="1"/>
        <v>13</v>
      </c>
      <c r="L44" s="178"/>
      <c r="M44" s="178"/>
      <c r="N44" s="178"/>
      <c r="O44" s="178"/>
      <c r="P44" s="179">
        <v>13</v>
      </c>
      <c r="Q44" s="180"/>
      <c r="R44" s="173"/>
      <c r="S44" s="177"/>
      <c r="T44" s="174"/>
      <c r="U44" s="174"/>
      <c r="V44" s="181" t="s">
        <v>453</v>
      </c>
      <c r="W44" s="178"/>
      <c r="X44" s="172">
        <v>46175</v>
      </c>
      <c r="Y44" s="174" t="s">
        <v>454</v>
      </c>
      <c r="Z44" s="174"/>
      <c r="AA44" s="174"/>
      <c r="AB44" s="174" t="s">
        <v>937</v>
      </c>
      <c r="AC44" s="182"/>
      <c r="AD44" s="182">
        <v>1212</v>
      </c>
      <c r="AE44" s="183"/>
      <c r="AF44" s="184"/>
      <c r="AG44" s="184"/>
      <c r="AH44" s="185"/>
      <c r="AI44" s="185"/>
      <c r="AJ44" s="186"/>
      <c r="AK44" s="185"/>
      <c r="AL44" s="178">
        <v>18</v>
      </c>
      <c r="AM44" s="187" t="s">
        <v>938</v>
      </c>
      <c r="AN44" s="188"/>
      <c r="AO44" s="188"/>
      <c r="AP44" s="189"/>
    </row>
    <row r="45" spans="1:42" s="38" customFormat="1" ht="18.75" customHeight="1" x14ac:dyDescent="0.25">
      <c r="A45" s="44">
        <v>46175</v>
      </c>
      <c r="B45" s="40">
        <f t="shared" si="0"/>
        <v>46175</v>
      </c>
      <c r="C45" s="41" t="s">
        <v>85</v>
      </c>
      <c r="D45" s="45" t="s">
        <v>86</v>
      </c>
      <c r="E45" s="45">
        <v>31445</v>
      </c>
      <c r="F45" s="45">
        <v>1</v>
      </c>
      <c r="G45" s="191">
        <v>47447219</v>
      </c>
      <c r="H45" s="54" t="s">
        <v>127</v>
      </c>
      <c r="I45" s="42"/>
      <c r="J45" s="43"/>
      <c r="K45" s="43">
        <f t="shared" si="1"/>
        <v>25</v>
      </c>
      <c r="L45" s="43"/>
      <c r="M45" s="43"/>
      <c r="N45" s="43"/>
      <c r="O45" s="43"/>
      <c r="P45" s="46">
        <v>25</v>
      </c>
      <c r="Q45" s="47"/>
      <c r="R45" s="40"/>
      <c r="S45" s="42"/>
      <c r="T45" s="41"/>
      <c r="U45" s="41"/>
      <c r="V45" s="48" t="s">
        <v>453</v>
      </c>
      <c r="W45" s="43"/>
      <c r="X45" s="44">
        <v>46175</v>
      </c>
      <c r="Y45" s="41" t="s">
        <v>454</v>
      </c>
      <c r="Z45" s="41"/>
      <c r="AA45" s="41"/>
      <c r="AB45" s="41" t="s">
        <v>937</v>
      </c>
      <c r="AC45" s="49"/>
      <c r="AD45" s="49">
        <v>1212</v>
      </c>
      <c r="AE45" s="50"/>
      <c r="AF45" s="51"/>
      <c r="AG45" s="51"/>
      <c r="AH45" s="52"/>
      <c r="AI45" s="52"/>
      <c r="AJ45" s="53"/>
      <c r="AK45" s="52"/>
      <c r="AL45" s="43">
        <v>18</v>
      </c>
      <c r="AM45" s="168" t="s">
        <v>938</v>
      </c>
      <c r="AN45" s="36"/>
      <c r="AO45" s="36"/>
      <c r="AP45" s="37"/>
    </row>
    <row r="46" spans="1:42" s="38" customFormat="1" ht="18.75" customHeight="1" x14ac:dyDescent="0.25">
      <c r="A46" s="44">
        <v>46175</v>
      </c>
      <c r="B46" s="40">
        <f t="shared" si="0"/>
        <v>46175</v>
      </c>
      <c r="C46" s="41" t="s">
        <v>85</v>
      </c>
      <c r="D46" s="45" t="s">
        <v>86</v>
      </c>
      <c r="E46" s="45">
        <v>31446</v>
      </c>
      <c r="F46" s="45">
        <v>1</v>
      </c>
      <c r="G46" s="191">
        <v>43184409</v>
      </c>
      <c r="H46" s="54" t="s">
        <v>128</v>
      </c>
      <c r="I46" s="42"/>
      <c r="J46" s="43"/>
      <c r="K46" s="43">
        <f t="shared" si="1"/>
        <v>12.5</v>
      </c>
      <c r="L46" s="43"/>
      <c r="M46" s="43"/>
      <c r="N46" s="43"/>
      <c r="O46" s="43"/>
      <c r="P46" s="46">
        <v>12.5</v>
      </c>
      <c r="Q46" s="47"/>
      <c r="R46" s="40"/>
      <c r="S46" s="42"/>
      <c r="T46" s="41"/>
      <c r="U46" s="41"/>
      <c r="V46" s="48" t="s">
        <v>453</v>
      </c>
      <c r="W46" s="43"/>
      <c r="X46" s="44">
        <v>46175</v>
      </c>
      <c r="Y46" s="41" t="s">
        <v>454</v>
      </c>
      <c r="Z46" s="41"/>
      <c r="AA46" s="41"/>
      <c r="AB46" s="41" t="s">
        <v>937</v>
      </c>
      <c r="AC46" s="49"/>
      <c r="AD46" s="49">
        <v>1212</v>
      </c>
      <c r="AE46" s="50"/>
      <c r="AF46" s="51"/>
      <c r="AG46" s="51"/>
      <c r="AH46" s="52"/>
      <c r="AI46" s="52"/>
      <c r="AJ46" s="53"/>
      <c r="AK46" s="52"/>
      <c r="AL46" s="43">
        <v>18</v>
      </c>
      <c r="AM46" s="168" t="s">
        <v>938</v>
      </c>
      <c r="AN46" s="36"/>
      <c r="AO46" s="36"/>
      <c r="AP46" s="37"/>
    </row>
    <row r="47" spans="1:42" s="38" customFormat="1" ht="18.75" customHeight="1" x14ac:dyDescent="0.25">
      <c r="A47" s="44">
        <v>46175</v>
      </c>
      <c r="B47" s="40">
        <f t="shared" si="0"/>
        <v>46175</v>
      </c>
      <c r="C47" s="41" t="s">
        <v>85</v>
      </c>
      <c r="D47" s="45" t="s">
        <v>86</v>
      </c>
      <c r="E47" s="45">
        <v>31447</v>
      </c>
      <c r="F47" s="45">
        <v>1</v>
      </c>
      <c r="G47" s="191">
        <v>40426275</v>
      </c>
      <c r="H47" s="54" t="s">
        <v>129</v>
      </c>
      <c r="I47" s="42"/>
      <c r="J47" s="43"/>
      <c r="K47" s="43">
        <f t="shared" si="1"/>
        <v>15</v>
      </c>
      <c r="L47" s="43"/>
      <c r="M47" s="43"/>
      <c r="N47" s="43"/>
      <c r="O47" s="43"/>
      <c r="P47" s="46">
        <v>15</v>
      </c>
      <c r="Q47" s="47"/>
      <c r="R47" s="40"/>
      <c r="S47" s="42"/>
      <c r="T47" s="41"/>
      <c r="U47" s="41"/>
      <c r="V47" s="48" t="s">
        <v>453</v>
      </c>
      <c r="W47" s="43"/>
      <c r="X47" s="44">
        <v>46175</v>
      </c>
      <c r="Y47" s="41" t="s">
        <v>454</v>
      </c>
      <c r="Z47" s="41"/>
      <c r="AA47" s="41"/>
      <c r="AB47" s="41" t="s">
        <v>937</v>
      </c>
      <c r="AC47" s="49"/>
      <c r="AD47" s="49">
        <v>1212</v>
      </c>
      <c r="AE47" s="50"/>
      <c r="AF47" s="51"/>
      <c r="AG47" s="51"/>
      <c r="AH47" s="52"/>
      <c r="AI47" s="52"/>
      <c r="AJ47" s="53"/>
      <c r="AK47" s="52"/>
      <c r="AL47" s="43">
        <v>18</v>
      </c>
      <c r="AM47" s="168" t="s">
        <v>938</v>
      </c>
      <c r="AN47" s="36"/>
      <c r="AO47" s="36"/>
      <c r="AP47" s="37"/>
    </row>
    <row r="48" spans="1:42" s="38" customFormat="1" ht="18.75" customHeight="1" x14ac:dyDescent="0.25">
      <c r="A48" s="44">
        <v>46175</v>
      </c>
      <c r="B48" s="40">
        <f t="shared" si="0"/>
        <v>46175</v>
      </c>
      <c r="C48" s="41" t="s">
        <v>85</v>
      </c>
      <c r="D48" s="45" t="s">
        <v>86</v>
      </c>
      <c r="E48" s="45">
        <v>31448</v>
      </c>
      <c r="F48" s="45">
        <v>1</v>
      </c>
      <c r="G48" s="191">
        <v>41831354</v>
      </c>
      <c r="H48" s="54" t="s">
        <v>130</v>
      </c>
      <c r="I48" s="42"/>
      <c r="J48" s="43"/>
      <c r="K48" s="43">
        <f t="shared" si="1"/>
        <v>6</v>
      </c>
      <c r="L48" s="43"/>
      <c r="M48" s="43"/>
      <c r="N48" s="43"/>
      <c r="O48" s="43"/>
      <c r="P48" s="46">
        <v>6</v>
      </c>
      <c r="Q48" s="47"/>
      <c r="R48" s="40"/>
      <c r="S48" s="42"/>
      <c r="T48" s="41"/>
      <c r="U48" s="41"/>
      <c r="V48" s="48" t="s">
        <v>453</v>
      </c>
      <c r="W48" s="43"/>
      <c r="X48" s="44">
        <v>46175</v>
      </c>
      <c r="Y48" s="41" t="s">
        <v>454</v>
      </c>
      <c r="Z48" s="41"/>
      <c r="AA48" s="41"/>
      <c r="AB48" s="41" t="s">
        <v>937</v>
      </c>
      <c r="AC48" s="49"/>
      <c r="AD48" s="49">
        <v>1212</v>
      </c>
      <c r="AE48" s="50"/>
      <c r="AF48" s="51"/>
      <c r="AG48" s="51"/>
      <c r="AH48" s="52"/>
      <c r="AI48" s="52"/>
      <c r="AJ48" s="53"/>
      <c r="AK48" s="52"/>
      <c r="AL48" s="43">
        <v>18</v>
      </c>
      <c r="AM48" s="168" t="s">
        <v>938</v>
      </c>
      <c r="AN48" s="36"/>
      <c r="AO48" s="36"/>
      <c r="AP48" s="37"/>
    </row>
    <row r="49" spans="1:42" s="38" customFormat="1" ht="18.75" customHeight="1" x14ac:dyDescent="0.25">
      <c r="A49" s="44">
        <v>46175</v>
      </c>
      <c r="B49" s="40">
        <f t="shared" si="0"/>
        <v>46175</v>
      </c>
      <c r="C49" s="41" t="s">
        <v>85</v>
      </c>
      <c r="D49" s="45" t="s">
        <v>86</v>
      </c>
      <c r="E49" s="45">
        <v>31449</v>
      </c>
      <c r="F49" s="45">
        <v>1</v>
      </c>
      <c r="G49" s="191">
        <v>20969871</v>
      </c>
      <c r="H49" s="54" t="s">
        <v>131</v>
      </c>
      <c r="I49" s="42"/>
      <c r="J49" s="43"/>
      <c r="K49" s="43">
        <f t="shared" si="1"/>
        <v>7.5</v>
      </c>
      <c r="L49" s="43"/>
      <c r="M49" s="43"/>
      <c r="N49" s="43"/>
      <c r="O49" s="43"/>
      <c r="P49" s="46">
        <v>7.5</v>
      </c>
      <c r="Q49" s="47"/>
      <c r="R49" s="40"/>
      <c r="S49" s="42"/>
      <c r="T49" s="41"/>
      <c r="U49" s="41"/>
      <c r="V49" s="48" t="s">
        <v>453</v>
      </c>
      <c r="W49" s="43"/>
      <c r="X49" s="44">
        <v>46175</v>
      </c>
      <c r="Y49" s="41" t="s">
        <v>454</v>
      </c>
      <c r="Z49" s="41"/>
      <c r="AA49" s="41"/>
      <c r="AB49" s="41" t="s">
        <v>937</v>
      </c>
      <c r="AC49" s="49"/>
      <c r="AD49" s="49">
        <v>1212</v>
      </c>
      <c r="AE49" s="50"/>
      <c r="AF49" s="51"/>
      <c r="AG49" s="51"/>
      <c r="AH49" s="52"/>
      <c r="AI49" s="52"/>
      <c r="AJ49" s="53"/>
      <c r="AK49" s="52"/>
      <c r="AL49" s="43">
        <v>18</v>
      </c>
      <c r="AM49" s="168" t="s">
        <v>938</v>
      </c>
      <c r="AN49" s="36"/>
      <c r="AO49" s="36"/>
      <c r="AP49" s="37"/>
    </row>
    <row r="50" spans="1:42" s="38" customFormat="1" ht="18.75" customHeight="1" x14ac:dyDescent="0.25">
      <c r="A50" s="44">
        <v>46175</v>
      </c>
      <c r="B50" s="40">
        <f t="shared" si="0"/>
        <v>46175</v>
      </c>
      <c r="C50" s="41" t="s">
        <v>85</v>
      </c>
      <c r="D50" s="45" t="s">
        <v>86</v>
      </c>
      <c r="E50" s="45">
        <v>31450</v>
      </c>
      <c r="F50" s="45">
        <v>1</v>
      </c>
      <c r="G50" s="191">
        <v>80331159</v>
      </c>
      <c r="H50" s="54" t="s">
        <v>132</v>
      </c>
      <c r="I50" s="42"/>
      <c r="J50" s="43"/>
      <c r="K50" s="43">
        <f t="shared" si="1"/>
        <v>10</v>
      </c>
      <c r="L50" s="43"/>
      <c r="M50" s="43"/>
      <c r="N50" s="43"/>
      <c r="O50" s="43"/>
      <c r="P50" s="46">
        <v>10</v>
      </c>
      <c r="Q50" s="47"/>
      <c r="R50" s="40"/>
      <c r="S50" s="42"/>
      <c r="T50" s="41"/>
      <c r="U50" s="41"/>
      <c r="V50" s="48" t="s">
        <v>453</v>
      </c>
      <c r="W50" s="43"/>
      <c r="X50" s="44">
        <v>46175</v>
      </c>
      <c r="Y50" s="41" t="s">
        <v>454</v>
      </c>
      <c r="Z50" s="41"/>
      <c r="AA50" s="41"/>
      <c r="AB50" s="41" t="s">
        <v>937</v>
      </c>
      <c r="AC50" s="49"/>
      <c r="AD50" s="49">
        <v>1212</v>
      </c>
      <c r="AE50" s="50"/>
      <c r="AF50" s="51"/>
      <c r="AG50" s="51"/>
      <c r="AH50" s="52"/>
      <c r="AI50" s="52"/>
      <c r="AJ50" s="53"/>
      <c r="AK50" s="52"/>
      <c r="AL50" s="43">
        <v>18</v>
      </c>
      <c r="AM50" s="168" t="s">
        <v>938</v>
      </c>
      <c r="AN50" s="36"/>
      <c r="AO50" s="36"/>
      <c r="AP50" s="37"/>
    </row>
    <row r="51" spans="1:42" s="38" customFormat="1" ht="18.75" customHeight="1" x14ac:dyDescent="0.25">
      <c r="A51" s="44">
        <v>46175</v>
      </c>
      <c r="B51" s="40">
        <f t="shared" si="0"/>
        <v>46175</v>
      </c>
      <c r="C51" s="41" t="s">
        <v>85</v>
      </c>
      <c r="D51" s="45" t="s">
        <v>86</v>
      </c>
      <c r="E51" s="45">
        <v>31451</v>
      </c>
      <c r="F51" s="45">
        <v>1</v>
      </c>
      <c r="G51" s="191">
        <v>19989661</v>
      </c>
      <c r="H51" s="54" t="s">
        <v>133</v>
      </c>
      <c r="I51" s="42"/>
      <c r="J51" s="43"/>
      <c r="K51" s="43">
        <f t="shared" si="1"/>
        <v>10</v>
      </c>
      <c r="L51" s="43"/>
      <c r="M51" s="43"/>
      <c r="N51" s="43"/>
      <c r="O51" s="43"/>
      <c r="P51" s="46">
        <v>10</v>
      </c>
      <c r="Q51" s="47"/>
      <c r="R51" s="40"/>
      <c r="S51" s="42"/>
      <c r="T51" s="41"/>
      <c r="U51" s="41"/>
      <c r="V51" s="48" t="s">
        <v>453</v>
      </c>
      <c r="W51" s="43"/>
      <c r="X51" s="44">
        <v>46175</v>
      </c>
      <c r="Y51" s="41" t="s">
        <v>454</v>
      </c>
      <c r="Z51" s="41"/>
      <c r="AA51" s="41"/>
      <c r="AB51" s="41" t="s">
        <v>937</v>
      </c>
      <c r="AC51" s="49"/>
      <c r="AD51" s="49">
        <v>1212</v>
      </c>
      <c r="AE51" s="50"/>
      <c r="AF51" s="51"/>
      <c r="AG51" s="51"/>
      <c r="AH51" s="52"/>
      <c r="AI51" s="52"/>
      <c r="AJ51" s="53"/>
      <c r="AK51" s="52"/>
      <c r="AL51" s="43">
        <v>18</v>
      </c>
      <c r="AM51" s="168" t="s">
        <v>938</v>
      </c>
      <c r="AN51" s="36"/>
      <c r="AO51" s="36"/>
      <c r="AP51" s="37"/>
    </row>
    <row r="52" spans="1:42" s="190" customFormat="1" ht="18.75" customHeight="1" x14ac:dyDescent="0.25">
      <c r="A52" s="172">
        <v>46176</v>
      </c>
      <c r="B52" s="173">
        <f t="shared" si="0"/>
        <v>46176</v>
      </c>
      <c r="C52" s="174" t="s">
        <v>85</v>
      </c>
      <c r="D52" s="175" t="s">
        <v>86</v>
      </c>
      <c r="E52" s="175">
        <v>31452</v>
      </c>
      <c r="F52" s="175">
        <v>1</v>
      </c>
      <c r="G52" s="192" t="s">
        <v>926</v>
      </c>
      <c r="H52" s="176" t="s">
        <v>134</v>
      </c>
      <c r="I52" s="177"/>
      <c r="J52" s="178"/>
      <c r="K52" s="178">
        <f t="shared" si="1"/>
        <v>25</v>
      </c>
      <c r="L52" s="178"/>
      <c r="M52" s="178"/>
      <c r="N52" s="178"/>
      <c r="O52" s="178"/>
      <c r="P52" s="179">
        <v>25</v>
      </c>
      <c r="Q52" s="180"/>
      <c r="R52" s="173"/>
      <c r="S52" s="177"/>
      <c r="T52" s="174"/>
      <c r="U52" s="174"/>
      <c r="V52" s="181" t="s">
        <v>453</v>
      </c>
      <c r="W52" s="178"/>
      <c r="X52" s="172">
        <v>46176</v>
      </c>
      <c r="Y52" s="174" t="s">
        <v>454</v>
      </c>
      <c r="Z52" s="174"/>
      <c r="AA52" s="174"/>
      <c r="AB52" s="174" t="s">
        <v>937</v>
      </c>
      <c r="AC52" s="182"/>
      <c r="AD52" s="182">
        <v>1212</v>
      </c>
      <c r="AE52" s="183"/>
      <c r="AF52" s="184"/>
      <c r="AG52" s="184"/>
      <c r="AH52" s="185"/>
      <c r="AI52" s="185"/>
      <c r="AJ52" s="186"/>
      <c r="AK52" s="185"/>
      <c r="AL52" s="178">
        <v>18</v>
      </c>
      <c r="AM52" s="187" t="s">
        <v>938</v>
      </c>
      <c r="AN52" s="188"/>
      <c r="AO52" s="188"/>
      <c r="AP52" s="189"/>
    </row>
    <row r="53" spans="1:42" s="38" customFormat="1" ht="18.75" customHeight="1" x14ac:dyDescent="0.25">
      <c r="A53" s="44">
        <v>46176</v>
      </c>
      <c r="B53" s="40">
        <f t="shared" si="0"/>
        <v>46176</v>
      </c>
      <c r="C53" s="41" t="s">
        <v>85</v>
      </c>
      <c r="D53" s="45" t="s">
        <v>86</v>
      </c>
      <c r="E53" s="45">
        <v>31453</v>
      </c>
      <c r="F53" s="45">
        <v>6</v>
      </c>
      <c r="G53" s="191">
        <v>20606649143</v>
      </c>
      <c r="H53" s="54" t="s">
        <v>135</v>
      </c>
      <c r="I53" s="42"/>
      <c r="J53" s="43"/>
      <c r="K53" s="43">
        <f t="shared" si="1"/>
        <v>140.1</v>
      </c>
      <c r="L53" s="43"/>
      <c r="M53" s="43"/>
      <c r="N53" s="43"/>
      <c r="O53" s="43"/>
      <c r="P53" s="46">
        <v>140.1</v>
      </c>
      <c r="Q53" s="47"/>
      <c r="R53" s="40"/>
      <c r="S53" s="42"/>
      <c r="T53" s="41"/>
      <c r="U53" s="41"/>
      <c r="V53" s="48" t="s">
        <v>453</v>
      </c>
      <c r="W53" s="43"/>
      <c r="X53" s="44">
        <v>46176</v>
      </c>
      <c r="Y53" s="41" t="s">
        <v>454</v>
      </c>
      <c r="Z53" s="41"/>
      <c r="AA53" s="41"/>
      <c r="AB53" s="41" t="s">
        <v>937</v>
      </c>
      <c r="AC53" s="49"/>
      <c r="AD53" s="49">
        <v>1212</v>
      </c>
      <c r="AE53" s="50"/>
      <c r="AF53" s="51"/>
      <c r="AG53" s="51"/>
      <c r="AH53" s="52"/>
      <c r="AI53" s="52"/>
      <c r="AJ53" s="53"/>
      <c r="AK53" s="52"/>
      <c r="AL53" s="43">
        <v>18</v>
      </c>
      <c r="AM53" s="168" t="s">
        <v>938</v>
      </c>
      <c r="AN53" s="36"/>
      <c r="AO53" s="36"/>
      <c r="AP53" s="37"/>
    </row>
    <row r="54" spans="1:42" s="38" customFormat="1" ht="18.75" customHeight="1" x14ac:dyDescent="0.25">
      <c r="A54" s="44">
        <v>46176</v>
      </c>
      <c r="B54" s="40">
        <f t="shared" si="0"/>
        <v>46176</v>
      </c>
      <c r="C54" s="41" t="s">
        <v>85</v>
      </c>
      <c r="D54" s="45" t="s">
        <v>86</v>
      </c>
      <c r="E54" s="45">
        <v>31454</v>
      </c>
      <c r="F54" s="45">
        <v>1</v>
      </c>
      <c r="G54" s="191">
        <v>20113289</v>
      </c>
      <c r="H54" s="54" t="s">
        <v>136</v>
      </c>
      <c r="I54" s="42"/>
      <c r="J54" s="43"/>
      <c r="K54" s="43">
        <f t="shared" si="1"/>
        <v>50</v>
      </c>
      <c r="L54" s="43"/>
      <c r="M54" s="43"/>
      <c r="N54" s="43"/>
      <c r="O54" s="43"/>
      <c r="P54" s="46">
        <v>50</v>
      </c>
      <c r="Q54" s="47"/>
      <c r="R54" s="40"/>
      <c r="S54" s="42"/>
      <c r="T54" s="41"/>
      <c r="U54" s="41"/>
      <c r="V54" s="48" t="s">
        <v>453</v>
      </c>
      <c r="W54" s="43"/>
      <c r="X54" s="44">
        <v>46176</v>
      </c>
      <c r="Y54" s="41" t="s">
        <v>454</v>
      </c>
      <c r="Z54" s="41"/>
      <c r="AA54" s="41"/>
      <c r="AB54" s="41" t="s">
        <v>937</v>
      </c>
      <c r="AC54" s="49"/>
      <c r="AD54" s="49">
        <v>1212</v>
      </c>
      <c r="AE54" s="50"/>
      <c r="AF54" s="51"/>
      <c r="AG54" s="51"/>
      <c r="AH54" s="52"/>
      <c r="AI54" s="52"/>
      <c r="AJ54" s="53"/>
      <c r="AK54" s="52"/>
      <c r="AL54" s="43">
        <v>18</v>
      </c>
      <c r="AM54" s="168" t="s">
        <v>938</v>
      </c>
      <c r="AN54" s="36"/>
      <c r="AO54" s="36"/>
      <c r="AP54" s="37"/>
    </row>
    <row r="55" spans="1:42" s="38" customFormat="1" ht="18.75" customHeight="1" x14ac:dyDescent="0.25">
      <c r="A55" s="44">
        <v>46176</v>
      </c>
      <c r="B55" s="40">
        <f t="shared" si="0"/>
        <v>46176</v>
      </c>
      <c r="C55" s="41" t="s">
        <v>85</v>
      </c>
      <c r="D55" s="45" t="s">
        <v>86</v>
      </c>
      <c r="E55" s="45">
        <v>31455</v>
      </c>
      <c r="F55" s="45">
        <v>6</v>
      </c>
      <c r="G55" s="191">
        <v>20603590687</v>
      </c>
      <c r="H55" s="54" t="s">
        <v>137</v>
      </c>
      <c r="I55" s="42"/>
      <c r="J55" s="43"/>
      <c r="K55" s="43">
        <f t="shared" si="1"/>
        <v>7.5</v>
      </c>
      <c r="L55" s="43"/>
      <c r="M55" s="43"/>
      <c r="N55" s="43"/>
      <c r="O55" s="43"/>
      <c r="P55" s="46">
        <v>7.5</v>
      </c>
      <c r="Q55" s="47"/>
      <c r="R55" s="40"/>
      <c r="S55" s="42"/>
      <c r="T55" s="41"/>
      <c r="U55" s="41"/>
      <c r="V55" s="48" t="s">
        <v>453</v>
      </c>
      <c r="W55" s="43"/>
      <c r="X55" s="44">
        <v>46176</v>
      </c>
      <c r="Y55" s="41" t="s">
        <v>454</v>
      </c>
      <c r="Z55" s="41"/>
      <c r="AA55" s="41"/>
      <c r="AB55" s="41" t="s">
        <v>937</v>
      </c>
      <c r="AC55" s="49"/>
      <c r="AD55" s="49">
        <v>1212</v>
      </c>
      <c r="AE55" s="50"/>
      <c r="AF55" s="51"/>
      <c r="AG55" s="51"/>
      <c r="AH55" s="52"/>
      <c r="AI55" s="52"/>
      <c r="AJ55" s="53"/>
      <c r="AK55" s="52"/>
      <c r="AL55" s="43">
        <v>18</v>
      </c>
      <c r="AM55" s="168" t="s">
        <v>938</v>
      </c>
      <c r="AN55" s="36"/>
      <c r="AO55" s="36"/>
      <c r="AP55" s="37"/>
    </row>
    <row r="56" spans="1:42" s="38" customFormat="1" ht="18.75" customHeight="1" x14ac:dyDescent="0.25">
      <c r="A56" s="44">
        <v>46176</v>
      </c>
      <c r="B56" s="40">
        <f t="shared" si="0"/>
        <v>46176</v>
      </c>
      <c r="C56" s="41" t="s">
        <v>85</v>
      </c>
      <c r="D56" s="45" t="s">
        <v>86</v>
      </c>
      <c r="E56" s="45">
        <v>31456</v>
      </c>
      <c r="F56" s="45">
        <v>6</v>
      </c>
      <c r="G56" s="191">
        <v>20518164717</v>
      </c>
      <c r="H56" s="54" t="s">
        <v>118</v>
      </c>
      <c r="I56" s="42"/>
      <c r="J56" s="43"/>
      <c r="K56" s="43">
        <f t="shared" si="1"/>
        <v>13.6</v>
      </c>
      <c r="L56" s="43"/>
      <c r="M56" s="43"/>
      <c r="N56" s="43"/>
      <c r="O56" s="43"/>
      <c r="P56" s="46">
        <v>13.6</v>
      </c>
      <c r="Q56" s="47"/>
      <c r="R56" s="40"/>
      <c r="S56" s="42"/>
      <c r="T56" s="41"/>
      <c r="U56" s="41"/>
      <c r="V56" s="48" t="s">
        <v>453</v>
      </c>
      <c r="W56" s="43"/>
      <c r="X56" s="44">
        <v>46176</v>
      </c>
      <c r="Y56" s="41" t="s">
        <v>454</v>
      </c>
      <c r="Z56" s="41"/>
      <c r="AA56" s="41"/>
      <c r="AB56" s="41" t="s">
        <v>937</v>
      </c>
      <c r="AC56" s="49"/>
      <c r="AD56" s="49">
        <v>1212</v>
      </c>
      <c r="AE56" s="50"/>
      <c r="AF56" s="51"/>
      <c r="AG56" s="51"/>
      <c r="AH56" s="52"/>
      <c r="AI56" s="52"/>
      <c r="AJ56" s="53"/>
      <c r="AK56" s="52"/>
      <c r="AL56" s="43">
        <v>18</v>
      </c>
      <c r="AM56" s="168" t="s">
        <v>938</v>
      </c>
      <c r="AN56" s="36"/>
      <c r="AO56" s="36"/>
      <c r="AP56" s="37"/>
    </row>
    <row r="57" spans="1:42" s="38" customFormat="1" ht="18.75" customHeight="1" x14ac:dyDescent="0.25">
      <c r="A57" s="44">
        <v>46176</v>
      </c>
      <c r="B57" s="40">
        <f t="shared" si="0"/>
        <v>46176</v>
      </c>
      <c r="C57" s="41" t="s">
        <v>85</v>
      </c>
      <c r="D57" s="45" t="s">
        <v>86</v>
      </c>
      <c r="E57" s="45">
        <v>31457</v>
      </c>
      <c r="F57" s="45">
        <v>1</v>
      </c>
      <c r="G57" s="191">
        <v>21282745</v>
      </c>
      <c r="H57" s="54" t="s">
        <v>138</v>
      </c>
      <c r="I57" s="42"/>
      <c r="J57" s="43"/>
      <c r="K57" s="43">
        <f t="shared" si="1"/>
        <v>20</v>
      </c>
      <c r="L57" s="43"/>
      <c r="M57" s="43"/>
      <c r="N57" s="43"/>
      <c r="O57" s="43"/>
      <c r="P57" s="46">
        <v>20</v>
      </c>
      <c r="Q57" s="47"/>
      <c r="R57" s="40"/>
      <c r="S57" s="42"/>
      <c r="T57" s="41"/>
      <c r="U57" s="41"/>
      <c r="V57" s="48" t="s">
        <v>453</v>
      </c>
      <c r="W57" s="43"/>
      <c r="X57" s="44">
        <v>46176</v>
      </c>
      <c r="Y57" s="41" t="s">
        <v>454</v>
      </c>
      <c r="Z57" s="41"/>
      <c r="AA57" s="41"/>
      <c r="AB57" s="41" t="s">
        <v>937</v>
      </c>
      <c r="AC57" s="49"/>
      <c r="AD57" s="49">
        <v>1212</v>
      </c>
      <c r="AE57" s="50"/>
      <c r="AF57" s="51"/>
      <c r="AG57" s="51"/>
      <c r="AH57" s="52"/>
      <c r="AI57" s="52"/>
      <c r="AJ57" s="53"/>
      <c r="AK57" s="52"/>
      <c r="AL57" s="43">
        <v>18</v>
      </c>
      <c r="AM57" s="168" t="s">
        <v>938</v>
      </c>
      <c r="AN57" s="36"/>
      <c r="AO57" s="36"/>
      <c r="AP57" s="37"/>
    </row>
    <row r="58" spans="1:42" s="38" customFormat="1" ht="18.75" customHeight="1" x14ac:dyDescent="0.25">
      <c r="A58" s="44">
        <v>46176</v>
      </c>
      <c r="B58" s="40">
        <f t="shared" si="0"/>
        <v>46176</v>
      </c>
      <c r="C58" s="41" t="s">
        <v>85</v>
      </c>
      <c r="D58" s="45" t="s">
        <v>86</v>
      </c>
      <c r="E58" s="45">
        <v>31458</v>
      </c>
      <c r="F58" s="45">
        <v>1</v>
      </c>
      <c r="G58" s="191">
        <v>20433530</v>
      </c>
      <c r="H58" s="54" t="s">
        <v>139</v>
      </c>
      <c r="I58" s="42"/>
      <c r="J58" s="43"/>
      <c r="K58" s="43">
        <f t="shared" si="1"/>
        <v>15</v>
      </c>
      <c r="L58" s="43"/>
      <c r="M58" s="43"/>
      <c r="N58" s="43"/>
      <c r="O58" s="43"/>
      <c r="P58" s="46">
        <v>15</v>
      </c>
      <c r="Q58" s="47"/>
      <c r="R58" s="40"/>
      <c r="S58" s="42"/>
      <c r="T58" s="41"/>
      <c r="U58" s="41"/>
      <c r="V58" s="48" t="s">
        <v>453</v>
      </c>
      <c r="W58" s="43"/>
      <c r="X58" s="44">
        <v>46176</v>
      </c>
      <c r="Y58" s="41" t="s">
        <v>454</v>
      </c>
      <c r="Z58" s="41"/>
      <c r="AA58" s="41"/>
      <c r="AB58" s="41" t="s">
        <v>937</v>
      </c>
      <c r="AC58" s="49"/>
      <c r="AD58" s="49">
        <v>1212</v>
      </c>
      <c r="AE58" s="50"/>
      <c r="AF58" s="51"/>
      <c r="AG58" s="51"/>
      <c r="AH58" s="52"/>
      <c r="AI58" s="52"/>
      <c r="AJ58" s="53"/>
      <c r="AK58" s="52"/>
      <c r="AL58" s="43">
        <v>18</v>
      </c>
      <c r="AM58" s="168" t="s">
        <v>938</v>
      </c>
      <c r="AN58" s="36"/>
      <c r="AO58" s="36"/>
      <c r="AP58" s="37"/>
    </row>
    <row r="59" spans="1:42" s="38" customFormat="1" ht="18.75" customHeight="1" x14ac:dyDescent="0.25">
      <c r="A59" s="44">
        <v>46176</v>
      </c>
      <c r="B59" s="40">
        <f t="shared" si="0"/>
        <v>46176</v>
      </c>
      <c r="C59" s="41" t="s">
        <v>85</v>
      </c>
      <c r="D59" s="45" t="s">
        <v>86</v>
      </c>
      <c r="E59" s="45">
        <v>31459</v>
      </c>
      <c r="F59" s="45">
        <v>1</v>
      </c>
      <c r="G59" s="191">
        <v>20082253</v>
      </c>
      <c r="H59" s="54" t="s">
        <v>140</v>
      </c>
      <c r="I59" s="42"/>
      <c r="J59" s="43"/>
      <c r="K59" s="43">
        <f t="shared" si="1"/>
        <v>21</v>
      </c>
      <c r="L59" s="43"/>
      <c r="M59" s="43"/>
      <c r="N59" s="43"/>
      <c r="O59" s="43"/>
      <c r="P59" s="46">
        <v>21</v>
      </c>
      <c r="Q59" s="47"/>
      <c r="R59" s="40"/>
      <c r="S59" s="42"/>
      <c r="T59" s="41"/>
      <c r="U59" s="41"/>
      <c r="V59" s="48" t="s">
        <v>453</v>
      </c>
      <c r="W59" s="43"/>
      <c r="X59" s="44">
        <v>46176</v>
      </c>
      <c r="Y59" s="41" t="s">
        <v>454</v>
      </c>
      <c r="Z59" s="41"/>
      <c r="AA59" s="41"/>
      <c r="AB59" s="41" t="s">
        <v>937</v>
      </c>
      <c r="AC59" s="49"/>
      <c r="AD59" s="49">
        <v>1212</v>
      </c>
      <c r="AE59" s="50"/>
      <c r="AF59" s="51"/>
      <c r="AG59" s="51"/>
      <c r="AH59" s="52"/>
      <c r="AI59" s="52"/>
      <c r="AJ59" s="53"/>
      <c r="AK59" s="52"/>
      <c r="AL59" s="43">
        <v>18</v>
      </c>
      <c r="AM59" s="168" t="s">
        <v>938</v>
      </c>
      <c r="AN59" s="36"/>
      <c r="AO59" s="36"/>
      <c r="AP59" s="37"/>
    </row>
    <row r="60" spans="1:42" s="38" customFormat="1" ht="18.75" customHeight="1" x14ac:dyDescent="0.25">
      <c r="A60" s="44">
        <v>46176</v>
      </c>
      <c r="B60" s="40">
        <f t="shared" si="0"/>
        <v>46176</v>
      </c>
      <c r="C60" s="41" t="s">
        <v>85</v>
      </c>
      <c r="D60" s="45" t="s">
        <v>86</v>
      </c>
      <c r="E60" s="45">
        <v>31460</v>
      </c>
      <c r="F60" s="45">
        <v>1</v>
      </c>
      <c r="G60" s="191">
        <v>46507941</v>
      </c>
      <c r="H60" s="54" t="s">
        <v>141</v>
      </c>
      <c r="I60" s="42"/>
      <c r="J60" s="43"/>
      <c r="K60" s="43">
        <f t="shared" si="1"/>
        <v>9.9</v>
      </c>
      <c r="L60" s="43"/>
      <c r="M60" s="43"/>
      <c r="N60" s="43"/>
      <c r="O60" s="43"/>
      <c r="P60" s="46">
        <v>9.9</v>
      </c>
      <c r="Q60" s="47"/>
      <c r="R60" s="40"/>
      <c r="S60" s="42"/>
      <c r="T60" s="41"/>
      <c r="U60" s="41"/>
      <c r="V60" s="48" t="s">
        <v>453</v>
      </c>
      <c r="W60" s="43"/>
      <c r="X60" s="44">
        <v>46176</v>
      </c>
      <c r="Y60" s="41" t="s">
        <v>454</v>
      </c>
      <c r="Z60" s="41"/>
      <c r="AA60" s="41"/>
      <c r="AB60" s="41" t="s">
        <v>937</v>
      </c>
      <c r="AC60" s="49"/>
      <c r="AD60" s="49">
        <v>1212</v>
      </c>
      <c r="AE60" s="50"/>
      <c r="AF60" s="51"/>
      <c r="AG60" s="51"/>
      <c r="AH60" s="52"/>
      <c r="AI60" s="52"/>
      <c r="AJ60" s="53"/>
      <c r="AK60" s="52"/>
      <c r="AL60" s="43">
        <v>18</v>
      </c>
      <c r="AM60" s="168" t="s">
        <v>938</v>
      </c>
      <c r="AN60" s="36"/>
      <c r="AO60" s="36"/>
      <c r="AP60" s="37"/>
    </row>
    <row r="61" spans="1:42" s="38" customFormat="1" ht="18.75" customHeight="1" x14ac:dyDescent="0.25">
      <c r="A61" s="44">
        <v>46176</v>
      </c>
      <c r="B61" s="40">
        <f t="shared" si="0"/>
        <v>46176</v>
      </c>
      <c r="C61" s="41" t="s">
        <v>85</v>
      </c>
      <c r="D61" s="45" t="s">
        <v>86</v>
      </c>
      <c r="E61" s="45">
        <v>31461</v>
      </c>
      <c r="F61" s="45">
        <v>1</v>
      </c>
      <c r="G61" s="191">
        <v>40816886</v>
      </c>
      <c r="H61" s="54" t="s">
        <v>142</v>
      </c>
      <c r="I61" s="42"/>
      <c r="J61" s="43"/>
      <c r="K61" s="43">
        <f t="shared" si="1"/>
        <v>100</v>
      </c>
      <c r="L61" s="43"/>
      <c r="M61" s="43"/>
      <c r="N61" s="43"/>
      <c r="O61" s="43"/>
      <c r="P61" s="46">
        <v>100</v>
      </c>
      <c r="Q61" s="47"/>
      <c r="R61" s="40"/>
      <c r="S61" s="42"/>
      <c r="T61" s="41"/>
      <c r="U61" s="41"/>
      <c r="V61" s="48" t="s">
        <v>453</v>
      </c>
      <c r="W61" s="43"/>
      <c r="X61" s="44">
        <v>46176</v>
      </c>
      <c r="Y61" s="41" t="s">
        <v>454</v>
      </c>
      <c r="Z61" s="41"/>
      <c r="AA61" s="41"/>
      <c r="AB61" s="41" t="s">
        <v>937</v>
      </c>
      <c r="AC61" s="49"/>
      <c r="AD61" s="49">
        <v>1212</v>
      </c>
      <c r="AE61" s="50"/>
      <c r="AF61" s="51"/>
      <c r="AG61" s="51"/>
      <c r="AH61" s="52"/>
      <c r="AI61" s="52"/>
      <c r="AJ61" s="53"/>
      <c r="AK61" s="52"/>
      <c r="AL61" s="43">
        <v>18</v>
      </c>
      <c r="AM61" s="168" t="s">
        <v>938</v>
      </c>
      <c r="AN61" s="36"/>
      <c r="AO61" s="36"/>
      <c r="AP61" s="37"/>
    </row>
    <row r="62" spans="1:42" s="38" customFormat="1" ht="18.75" customHeight="1" x14ac:dyDescent="0.25">
      <c r="A62" s="44">
        <v>46176</v>
      </c>
      <c r="B62" s="40">
        <f t="shared" si="0"/>
        <v>46176</v>
      </c>
      <c r="C62" s="41" t="s">
        <v>85</v>
      </c>
      <c r="D62" s="45" t="s">
        <v>86</v>
      </c>
      <c r="E62" s="45">
        <v>31462</v>
      </c>
      <c r="F62" s="45">
        <v>1</v>
      </c>
      <c r="G62" s="191">
        <v>19961776</v>
      </c>
      <c r="H62" s="54" t="s">
        <v>143</v>
      </c>
      <c r="I62" s="42"/>
      <c r="J62" s="43"/>
      <c r="K62" s="43">
        <f t="shared" si="1"/>
        <v>63</v>
      </c>
      <c r="L62" s="43"/>
      <c r="M62" s="43"/>
      <c r="N62" s="43"/>
      <c r="O62" s="43"/>
      <c r="P62" s="46">
        <v>63</v>
      </c>
      <c r="Q62" s="47"/>
      <c r="R62" s="40"/>
      <c r="S62" s="42"/>
      <c r="T62" s="41"/>
      <c r="U62" s="41"/>
      <c r="V62" s="48" t="s">
        <v>453</v>
      </c>
      <c r="W62" s="43"/>
      <c r="X62" s="44">
        <v>46176</v>
      </c>
      <c r="Y62" s="41" t="s">
        <v>454</v>
      </c>
      <c r="Z62" s="41"/>
      <c r="AA62" s="41"/>
      <c r="AB62" s="41" t="s">
        <v>937</v>
      </c>
      <c r="AC62" s="49"/>
      <c r="AD62" s="49">
        <v>1212</v>
      </c>
      <c r="AE62" s="50"/>
      <c r="AF62" s="51"/>
      <c r="AG62" s="51"/>
      <c r="AH62" s="52"/>
      <c r="AI62" s="52"/>
      <c r="AJ62" s="53"/>
      <c r="AK62" s="52"/>
      <c r="AL62" s="43">
        <v>18</v>
      </c>
      <c r="AM62" s="168" t="s">
        <v>938</v>
      </c>
      <c r="AN62" s="36"/>
      <c r="AO62" s="36"/>
      <c r="AP62" s="37"/>
    </row>
    <row r="63" spans="1:42" s="38" customFormat="1" ht="18.75" customHeight="1" x14ac:dyDescent="0.25">
      <c r="A63" s="44">
        <v>46176</v>
      </c>
      <c r="B63" s="40">
        <f t="shared" si="0"/>
        <v>46176</v>
      </c>
      <c r="C63" s="41" t="s">
        <v>85</v>
      </c>
      <c r="D63" s="45" t="s">
        <v>86</v>
      </c>
      <c r="E63" s="45">
        <v>31463</v>
      </c>
      <c r="F63" s="45">
        <v>1</v>
      </c>
      <c r="G63" s="191">
        <v>21132678</v>
      </c>
      <c r="H63" s="54" t="s">
        <v>144</v>
      </c>
      <c r="I63" s="42"/>
      <c r="J63" s="43"/>
      <c r="K63" s="43">
        <f t="shared" si="1"/>
        <v>24.3</v>
      </c>
      <c r="L63" s="43"/>
      <c r="M63" s="43"/>
      <c r="N63" s="43"/>
      <c r="O63" s="43"/>
      <c r="P63" s="46">
        <v>24.3</v>
      </c>
      <c r="Q63" s="47"/>
      <c r="R63" s="40"/>
      <c r="S63" s="42"/>
      <c r="T63" s="41"/>
      <c r="U63" s="41"/>
      <c r="V63" s="48" t="s">
        <v>453</v>
      </c>
      <c r="W63" s="43"/>
      <c r="X63" s="44">
        <v>46176</v>
      </c>
      <c r="Y63" s="41" t="s">
        <v>454</v>
      </c>
      <c r="Z63" s="41"/>
      <c r="AA63" s="41"/>
      <c r="AB63" s="41" t="s">
        <v>937</v>
      </c>
      <c r="AC63" s="49"/>
      <c r="AD63" s="49">
        <v>1212</v>
      </c>
      <c r="AE63" s="50"/>
      <c r="AF63" s="51"/>
      <c r="AG63" s="51"/>
      <c r="AH63" s="52"/>
      <c r="AI63" s="52"/>
      <c r="AJ63" s="53"/>
      <c r="AK63" s="52"/>
      <c r="AL63" s="43">
        <v>18</v>
      </c>
      <c r="AM63" s="168" t="s">
        <v>938</v>
      </c>
      <c r="AN63" s="36"/>
      <c r="AO63" s="36"/>
      <c r="AP63" s="37"/>
    </row>
    <row r="64" spans="1:42" s="38" customFormat="1" ht="18.75" customHeight="1" x14ac:dyDescent="0.25">
      <c r="A64" s="44">
        <v>46177</v>
      </c>
      <c r="B64" s="40">
        <f t="shared" si="0"/>
        <v>46177</v>
      </c>
      <c r="C64" s="41" t="s">
        <v>85</v>
      </c>
      <c r="D64" s="45" t="s">
        <v>86</v>
      </c>
      <c r="E64" s="45">
        <v>31464</v>
      </c>
      <c r="F64" s="45">
        <v>1</v>
      </c>
      <c r="G64" s="191">
        <v>45033779</v>
      </c>
      <c r="H64" s="54" t="s">
        <v>145</v>
      </c>
      <c r="I64" s="42"/>
      <c r="J64" s="43"/>
      <c r="K64" s="43">
        <f t="shared" si="1"/>
        <v>4.3</v>
      </c>
      <c r="L64" s="43"/>
      <c r="M64" s="43"/>
      <c r="N64" s="43"/>
      <c r="O64" s="43"/>
      <c r="P64" s="46">
        <v>4.3</v>
      </c>
      <c r="Q64" s="47"/>
      <c r="R64" s="40"/>
      <c r="S64" s="42"/>
      <c r="T64" s="41"/>
      <c r="U64" s="41"/>
      <c r="V64" s="48" t="s">
        <v>453</v>
      </c>
      <c r="W64" s="43"/>
      <c r="X64" s="44">
        <v>46177</v>
      </c>
      <c r="Y64" s="41" t="s">
        <v>454</v>
      </c>
      <c r="Z64" s="41"/>
      <c r="AA64" s="41"/>
      <c r="AB64" s="41" t="s">
        <v>937</v>
      </c>
      <c r="AC64" s="49"/>
      <c r="AD64" s="49">
        <v>1212</v>
      </c>
      <c r="AE64" s="50"/>
      <c r="AF64" s="51"/>
      <c r="AG64" s="51"/>
      <c r="AH64" s="52"/>
      <c r="AI64" s="52"/>
      <c r="AJ64" s="53"/>
      <c r="AK64" s="52"/>
      <c r="AL64" s="43">
        <v>18</v>
      </c>
      <c r="AM64" s="168" t="s">
        <v>938</v>
      </c>
      <c r="AN64" s="36"/>
      <c r="AO64" s="36"/>
      <c r="AP64" s="37"/>
    </row>
    <row r="65" spans="1:42" s="38" customFormat="1" ht="18.75" customHeight="1" x14ac:dyDescent="0.25">
      <c r="A65" s="44">
        <v>46177</v>
      </c>
      <c r="B65" s="40">
        <f t="shared" si="0"/>
        <v>46177</v>
      </c>
      <c r="C65" s="41" t="s">
        <v>85</v>
      </c>
      <c r="D65" s="45" t="s">
        <v>86</v>
      </c>
      <c r="E65" s="45">
        <v>31465</v>
      </c>
      <c r="F65" s="45">
        <v>6</v>
      </c>
      <c r="G65" s="191">
        <v>20602215637</v>
      </c>
      <c r="H65" s="54" t="s">
        <v>146</v>
      </c>
      <c r="I65" s="42"/>
      <c r="J65" s="43"/>
      <c r="K65" s="43">
        <f t="shared" si="1"/>
        <v>150</v>
      </c>
      <c r="L65" s="43"/>
      <c r="M65" s="43"/>
      <c r="N65" s="43"/>
      <c r="O65" s="43"/>
      <c r="P65" s="46">
        <v>150</v>
      </c>
      <c r="Q65" s="47"/>
      <c r="R65" s="40"/>
      <c r="S65" s="42"/>
      <c r="T65" s="41"/>
      <c r="U65" s="41"/>
      <c r="V65" s="48" t="s">
        <v>453</v>
      </c>
      <c r="W65" s="43"/>
      <c r="X65" s="44">
        <v>46177</v>
      </c>
      <c r="Y65" s="41" t="s">
        <v>454</v>
      </c>
      <c r="Z65" s="41"/>
      <c r="AA65" s="41"/>
      <c r="AB65" s="41" t="s">
        <v>937</v>
      </c>
      <c r="AC65" s="49"/>
      <c r="AD65" s="49">
        <v>1212</v>
      </c>
      <c r="AE65" s="50"/>
      <c r="AF65" s="51"/>
      <c r="AG65" s="51"/>
      <c r="AH65" s="52"/>
      <c r="AI65" s="52"/>
      <c r="AJ65" s="53"/>
      <c r="AK65" s="52"/>
      <c r="AL65" s="43">
        <v>18</v>
      </c>
      <c r="AM65" s="168" t="s">
        <v>938</v>
      </c>
      <c r="AN65" s="36"/>
      <c r="AO65" s="36"/>
      <c r="AP65" s="37"/>
    </row>
    <row r="66" spans="1:42" s="38" customFormat="1" ht="18.75" customHeight="1" x14ac:dyDescent="0.25">
      <c r="A66" s="44">
        <v>46177</v>
      </c>
      <c r="B66" s="40">
        <f t="shared" si="0"/>
        <v>46177</v>
      </c>
      <c r="C66" s="41" t="s">
        <v>85</v>
      </c>
      <c r="D66" s="45" t="s">
        <v>86</v>
      </c>
      <c r="E66" s="45">
        <v>31466</v>
      </c>
      <c r="F66" s="45">
        <v>6</v>
      </c>
      <c r="G66" s="191">
        <v>20609143151</v>
      </c>
      <c r="H66" s="54" t="s">
        <v>147</v>
      </c>
      <c r="I66" s="42"/>
      <c r="J66" s="43"/>
      <c r="K66" s="43">
        <f t="shared" si="1"/>
        <v>120</v>
      </c>
      <c r="L66" s="43"/>
      <c r="M66" s="43"/>
      <c r="N66" s="43"/>
      <c r="O66" s="43"/>
      <c r="P66" s="46">
        <v>120</v>
      </c>
      <c r="Q66" s="47"/>
      <c r="R66" s="40"/>
      <c r="S66" s="42"/>
      <c r="T66" s="41"/>
      <c r="U66" s="41"/>
      <c r="V66" s="48" t="s">
        <v>453</v>
      </c>
      <c r="W66" s="43"/>
      <c r="X66" s="44">
        <v>46177</v>
      </c>
      <c r="Y66" s="41" t="s">
        <v>454</v>
      </c>
      <c r="Z66" s="41"/>
      <c r="AA66" s="41"/>
      <c r="AB66" s="41" t="s">
        <v>937</v>
      </c>
      <c r="AC66" s="49"/>
      <c r="AD66" s="49">
        <v>1212</v>
      </c>
      <c r="AE66" s="50"/>
      <c r="AF66" s="51"/>
      <c r="AG66" s="51"/>
      <c r="AH66" s="52"/>
      <c r="AI66" s="52"/>
      <c r="AJ66" s="53"/>
      <c r="AK66" s="52"/>
      <c r="AL66" s="43">
        <v>18</v>
      </c>
      <c r="AM66" s="168" t="s">
        <v>938</v>
      </c>
      <c r="AN66" s="36"/>
      <c r="AO66" s="36"/>
      <c r="AP66" s="37"/>
    </row>
    <row r="67" spans="1:42" s="38" customFormat="1" ht="18.75" customHeight="1" x14ac:dyDescent="0.25">
      <c r="A67" s="44">
        <v>46177</v>
      </c>
      <c r="B67" s="40">
        <f t="shared" si="0"/>
        <v>46177</v>
      </c>
      <c r="C67" s="41" t="s">
        <v>85</v>
      </c>
      <c r="D67" s="45" t="s">
        <v>86</v>
      </c>
      <c r="E67" s="45">
        <v>31467</v>
      </c>
      <c r="F67" s="45">
        <v>6</v>
      </c>
      <c r="G67" s="191">
        <v>20518164717</v>
      </c>
      <c r="H67" s="54" t="s">
        <v>118</v>
      </c>
      <c r="I67" s="42"/>
      <c r="J67" s="43"/>
      <c r="K67" s="43">
        <f t="shared" si="1"/>
        <v>14.5</v>
      </c>
      <c r="L67" s="43"/>
      <c r="M67" s="43"/>
      <c r="N67" s="43"/>
      <c r="O67" s="43"/>
      <c r="P67" s="46">
        <v>14.5</v>
      </c>
      <c r="Q67" s="47"/>
      <c r="R67" s="40"/>
      <c r="S67" s="42"/>
      <c r="T67" s="41"/>
      <c r="U67" s="41"/>
      <c r="V67" s="48" t="s">
        <v>453</v>
      </c>
      <c r="W67" s="43"/>
      <c r="X67" s="44">
        <v>46177</v>
      </c>
      <c r="Y67" s="41" t="s">
        <v>454</v>
      </c>
      <c r="Z67" s="41"/>
      <c r="AA67" s="41"/>
      <c r="AB67" s="41" t="s">
        <v>937</v>
      </c>
      <c r="AC67" s="49"/>
      <c r="AD67" s="49">
        <v>1212</v>
      </c>
      <c r="AE67" s="50"/>
      <c r="AF67" s="51"/>
      <c r="AG67" s="51"/>
      <c r="AH67" s="52"/>
      <c r="AI67" s="52"/>
      <c r="AJ67" s="53"/>
      <c r="AK67" s="52"/>
      <c r="AL67" s="43">
        <v>18</v>
      </c>
      <c r="AM67" s="168" t="s">
        <v>938</v>
      </c>
      <c r="AN67" s="36"/>
      <c r="AO67" s="36"/>
      <c r="AP67" s="37"/>
    </row>
    <row r="68" spans="1:42" s="38" customFormat="1" ht="18.75" customHeight="1" x14ac:dyDescent="0.25">
      <c r="A68" s="44">
        <v>46177</v>
      </c>
      <c r="B68" s="40">
        <f t="shared" si="0"/>
        <v>46177</v>
      </c>
      <c r="C68" s="41" t="s">
        <v>85</v>
      </c>
      <c r="D68" s="45" t="s">
        <v>86</v>
      </c>
      <c r="E68" s="45">
        <v>31468</v>
      </c>
      <c r="F68" s="45">
        <v>1</v>
      </c>
      <c r="G68" s="191">
        <v>47940061</v>
      </c>
      <c r="H68" s="54" t="s">
        <v>148</v>
      </c>
      <c r="I68" s="42"/>
      <c r="J68" s="43"/>
      <c r="K68" s="43">
        <f t="shared" si="1"/>
        <v>24.5</v>
      </c>
      <c r="L68" s="43"/>
      <c r="M68" s="43"/>
      <c r="N68" s="43"/>
      <c r="O68" s="43"/>
      <c r="P68" s="46">
        <v>24.5</v>
      </c>
      <c r="Q68" s="47"/>
      <c r="R68" s="40"/>
      <c r="S68" s="42"/>
      <c r="T68" s="41"/>
      <c r="U68" s="41"/>
      <c r="V68" s="48" t="s">
        <v>453</v>
      </c>
      <c r="W68" s="43"/>
      <c r="X68" s="44">
        <v>46177</v>
      </c>
      <c r="Y68" s="41" t="s">
        <v>454</v>
      </c>
      <c r="Z68" s="41"/>
      <c r="AA68" s="41"/>
      <c r="AB68" s="41" t="s">
        <v>937</v>
      </c>
      <c r="AC68" s="49"/>
      <c r="AD68" s="49">
        <v>1212</v>
      </c>
      <c r="AE68" s="50"/>
      <c r="AF68" s="51"/>
      <c r="AG68" s="51"/>
      <c r="AH68" s="52"/>
      <c r="AI68" s="52"/>
      <c r="AJ68" s="53"/>
      <c r="AK68" s="52"/>
      <c r="AL68" s="43">
        <v>18</v>
      </c>
      <c r="AM68" s="168" t="s">
        <v>938</v>
      </c>
      <c r="AN68" s="36"/>
      <c r="AO68" s="36"/>
      <c r="AP68" s="37"/>
    </row>
    <row r="69" spans="1:42" s="38" customFormat="1" ht="18.75" customHeight="1" x14ac:dyDescent="0.25">
      <c r="A69" s="44">
        <v>46177</v>
      </c>
      <c r="B69" s="40">
        <f t="shared" ref="B69:B132" si="2">+A69</f>
        <v>46177</v>
      </c>
      <c r="C69" s="41" t="s">
        <v>85</v>
      </c>
      <c r="D69" s="45" t="s">
        <v>86</v>
      </c>
      <c r="E69" s="45">
        <v>31469</v>
      </c>
      <c r="F69" s="45">
        <v>1</v>
      </c>
      <c r="G69" s="191">
        <v>20710537</v>
      </c>
      <c r="H69" s="54" t="s">
        <v>149</v>
      </c>
      <c r="I69" s="42"/>
      <c r="J69" s="43"/>
      <c r="K69" s="43">
        <f t="shared" ref="K69:K132" si="3">+P69</f>
        <v>60</v>
      </c>
      <c r="L69" s="43"/>
      <c r="M69" s="43"/>
      <c r="N69" s="43"/>
      <c r="O69" s="43"/>
      <c r="P69" s="46">
        <v>60</v>
      </c>
      <c r="Q69" s="47"/>
      <c r="R69" s="40"/>
      <c r="S69" s="42"/>
      <c r="T69" s="41"/>
      <c r="U69" s="41"/>
      <c r="V69" s="48" t="s">
        <v>453</v>
      </c>
      <c r="W69" s="43"/>
      <c r="X69" s="44">
        <v>46177</v>
      </c>
      <c r="Y69" s="41" t="s">
        <v>454</v>
      </c>
      <c r="Z69" s="41"/>
      <c r="AA69" s="41"/>
      <c r="AB69" s="41" t="s">
        <v>937</v>
      </c>
      <c r="AC69" s="49"/>
      <c r="AD69" s="49">
        <v>1212</v>
      </c>
      <c r="AE69" s="50"/>
      <c r="AF69" s="51"/>
      <c r="AG69" s="51"/>
      <c r="AH69" s="52"/>
      <c r="AI69" s="52"/>
      <c r="AJ69" s="53"/>
      <c r="AK69" s="52"/>
      <c r="AL69" s="43">
        <v>18</v>
      </c>
      <c r="AM69" s="168" t="s">
        <v>938</v>
      </c>
      <c r="AN69" s="36"/>
      <c r="AO69" s="36"/>
      <c r="AP69" s="37"/>
    </row>
    <row r="70" spans="1:42" s="38" customFormat="1" ht="18.75" customHeight="1" x14ac:dyDescent="0.25">
      <c r="A70" s="44">
        <v>46177</v>
      </c>
      <c r="B70" s="40">
        <f t="shared" si="2"/>
        <v>46177</v>
      </c>
      <c r="C70" s="41" t="s">
        <v>85</v>
      </c>
      <c r="D70" s="45" t="s">
        <v>86</v>
      </c>
      <c r="E70" s="45">
        <v>31470</v>
      </c>
      <c r="F70" s="45">
        <v>1</v>
      </c>
      <c r="G70" s="191">
        <v>45248944</v>
      </c>
      <c r="H70" s="54" t="s">
        <v>150</v>
      </c>
      <c r="I70" s="42"/>
      <c r="J70" s="43"/>
      <c r="K70" s="43">
        <f t="shared" si="3"/>
        <v>100</v>
      </c>
      <c r="L70" s="43"/>
      <c r="M70" s="43"/>
      <c r="N70" s="43"/>
      <c r="O70" s="43"/>
      <c r="P70" s="46">
        <v>100</v>
      </c>
      <c r="Q70" s="47"/>
      <c r="R70" s="40"/>
      <c r="S70" s="42"/>
      <c r="T70" s="41"/>
      <c r="U70" s="41"/>
      <c r="V70" s="48" t="s">
        <v>453</v>
      </c>
      <c r="W70" s="43"/>
      <c r="X70" s="44">
        <v>46177</v>
      </c>
      <c r="Y70" s="41" t="s">
        <v>454</v>
      </c>
      <c r="Z70" s="41"/>
      <c r="AA70" s="41"/>
      <c r="AB70" s="41" t="s">
        <v>937</v>
      </c>
      <c r="AC70" s="49"/>
      <c r="AD70" s="49">
        <v>1212</v>
      </c>
      <c r="AE70" s="50"/>
      <c r="AF70" s="51"/>
      <c r="AG70" s="51"/>
      <c r="AH70" s="52"/>
      <c r="AI70" s="52"/>
      <c r="AJ70" s="53"/>
      <c r="AK70" s="52"/>
      <c r="AL70" s="43">
        <v>18</v>
      </c>
      <c r="AM70" s="168" t="s">
        <v>938</v>
      </c>
      <c r="AN70" s="36"/>
      <c r="AO70" s="36"/>
      <c r="AP70" s="37"/>
    </row>
    <row r="71" spans="1:42" s="38" customFormat="1" ht="18.75" customHeight="1" x14ac:dyDescent="0.25">
      <c r="A71" s="44">
        <v>46177</v>
      </c>
      <c r="B71" s="40">
        <f t="shared" si="2"/>
        <v>46177</v>
      </c>
      <c r="C71" s="41" t="s">
        <v>85</v>
      </c>
      <c r="D71" s="45" t="s">
        <v>86</v>
      </c>
      <c r="E71" s="45">
        <v>31471</v>
      </c>
      <c r="F71" s="45">
        <v>1</v>
      </c>
      <c r="G71" s="191">
        <v>41816523</v>
      </c>
      <c r="H71" s="54" t="s">
        <v>151</v>
      </c>
      <c r="I71" s="42"/>
      <c r="J71" s="43"/>
      <c r="K71" s="43">
        <f t="shared" si="3"/>
        <v>82.9</v>
      </c>
      <c r="L71" s="43"/>
      <c r="M71" s="43"/>
      <c r="N71" s="43"/>
      <c r="O71" s="43"/>
      <c r="P71" s="46">
        <v>82.9</v>
      </c>
      <c r="Q71" s="47"/>
      <c r="R71" s="40"/>
      <c r="S71" s="42"/>
      <c r="T71" s="41"/>
      <c r="U71" s="41"/>
      <c r="V71" s="48" t="s">
        <v>453</v>
      </c>
      <c r="W71" s="43"/>
      <c r="X71" s="44">
        <v>46177</v>
      </c>
      <c r="Y71" s="41" t="s">
        <v>454</v>
      </c>
      <c r="Z71" s="41"/>
      <c r="AA71" s="41"/>
      <c r="AB71" s="41" t="s">
        <v>937</v>
      </c>
      <c r="AC71" s="49"/>
      <c r="AD71" s="49">
        <v>1212</v>
      </c>
      <c r="AE71" s="50"/>
      <c r="AF71" s="51"/>
      <c r="AG71" s="51"/>
      <c r="AH71" s="52"/>
      <c r="AI71" s="52"/>
      <c r="AJ71" s="53"/>
      <c r="AK71" s="52"/>
      <c r="AL71" s="43">
        <v>18</v>
      </c>
      <c r="AM71" s="168" t="s">
        <v>938</v>
      </c>
      <c r="AN71" s="36"/>
      <c r="AO71" s="36"/>
      <c r="AP71" s="37"/>
    </row>
    <row r="72" spans="1:42" s="38" customFormat="1" ht="18.75" customHeight="1" x14ac:dyDescent="0.25">
      <c r="A72" s="44">
        <v>46177</v>
      </c>
      <c r="B72" s="40">
        <f t="shared" si="2"/>
        <v>46177</v>
      </c>
      <c r="C72" s="41" t="s">
        <v>85</v>
      </c>
      <c r="D72" s="45" t="s">
        <v>86</v>
      </c>
      <c r="E72" s="45">
        <v>31472</v>
      </c>
      <c r="F72" s="45">
        <v>1</v>
      </c>
      <c r="G72" s="191">
        <v>46392706</v>
      </c>
      <c r="H72" s="54" t="s">
        <v>152</v>
      </c>
      <c r="I72" s="42"/>
      <c r="J72" s="43"/>
      <c r="K72" s="43">
        <f t="shared" si="3"/>
        <v>10</v>
      </c>
      <c r="L72" s="43"/>
      <c r="M72" s="43"/>
      <c r="N72" s="43"/>
      <c r="O72" s="43"/>
      <c r="P72" s="46">
        <v>10</v>
      </c>
      <c r="Q72" s="47"/>
      <c r="R72" s="40"/>
      <c r="S72" s="42"/>
      <c r="T72" s="41"/>
      <c r="U72" s="41"/>
      <c r="V72" s="48" t="s">
        <v>453</v>
      </c>
      <c r="W72" s="43"/>
      <c r="X72" s="44">
        <v>46177</v>
      </c>
      <c r="Y72" s="41" t="s">
        <v>454</v>
      </c>
      <c r="Z72" s="41"/>
      <c r="AA72" s="41"/>
      <c r="AB72" s="41" t="s">
        <v>937</v>
      </c>
      <c r="AC72" s="49"/>
      <c r="AD72" s="49">
        <v>1212</v>
      </c>
      <c r="AE72" s="50"/>
      <c r="AF72" s="51"/>
      <c r="AG72" s="51"/>
      <c r="AH72" s="52"/>
      <c r="AI72" s="52"/>
      <c r="AJ72" s="53"/>
      <c r="AK72" s="52"/>
      <c r="AL72" s="43">
        <v>18</v>
      </c>
      <c r="AM72" s="168" t="s">
        <v>938</v>
      </c>
      <c r="AN72" s="36"/>
      <c r="AO72" s="36"/>
      <c r="AP72" s="37"/>
    </row>
    <row r="73" spans="1:42" s="38" customFormat="1" ht="18.75" customHeight="1" x14ac:dyDescent="0.25">
      <c r="A73" s="44">
        <v>46177</v>
      </c>
      <c r="B73" s="40">
        <f t="shared" si="2"/>
        <v>46177</v>
      </c>
      <c r="C73" s="41" t="s">
        <v>85</v>
      </c>
      <c r="D73" s="45" t="s">
        <v>86</v>
      </c>
      <c r="E73" s="45">
        <v>31474</v>
      </c>
      <c r="F73" s="45">
        <v>1</v>
      </c>
      <c r="G73" s="191">
        <v>20434590</v>
      </c>
      <c r="H73" s="54" t="s">
        <v>153</v>
      </c>
      <c r="I73" s="42"/>
      <c r="J73" s="43"/>
      <c r="K73" s="43">
        <f t="shared" si="3"/>
        <v>20</v>
      </c>
      <c r="L73" s="43"/>
      <c r="M73" s="43"/>
      <c r="N73" s="43"/>
      <c r="O73" s="43"/>
      <c r="P73" s="46">
        <v>20</v>
      </c>
      <c r="Q73" s="47"/>
      <c r="R73" s="40"/>
      <c r="S73" s="42"/>
      <c r="T73" s="41"/>
      <c r="U73" s="41"/>
      <c r="V73" s="48" t="s">
        <v>453</v>
      </c>
      <c r="W73" s="43"/>
      <c r="X73" s="44">
        <v>46177</v>
      </c>
      <c r="Y73" s="41" t="s">
        <v>454</v>
      </c>
      <c r="Z73" s="41"/>
      <c r="AA73" s="41"/>
      <c r="AB73" s="41" t="s">
        <v>937</v>
      </c>
      <c r="AC73" s="49"/>
      <c r="AD73" s="49">
        <v>1212</v>
      </c>
      <c r="AE73" s="50"/>
      <c r="AF73" s="51"/>
      <c r="AG73" s="51"/>
      <c r="AH73" s="52"/>
      <c r="AI73" s="52"/>
      <c r="AJ73" s="53"/>
      <c r="AK73" s="52"/>
      <c r="AL73" s="43">
        <v>18</v>
      </c>
      <c r="AM73" s="168" t="s">
        <v>938</v>
      </c>
      <c r="AN73" s="36"/>
      <c r="AO73" s="36"/>
      <c r="AP73" s="37"/>
    </row>
    <row r="74" spans="1:42" s="38" customFormat="1" ht="18.75" customHeight="1" x14ac:dyDescent="0.25">
      <c r="A74" s="44">
        <v>46177</v>
      </c>
      <c r="B74" s="40">
        <f t="shared" si="2"/>
        <v>46177</v>
      </c>
      <c r="C74" s="41" t="s">
        <v>85</v>
      </c>
      <c r="D74" s="45" t="s">
        <v>86</v>
      </c>
      <c r="E74" s="45">
        <v>31475</v>
      </c>
      <c r="F74" s="45">
        <v>1</v>
      </c>
      <c r="G74" s="191">
        <v>41573005</v>
      </c>
      <c r="H74" s="54" t="s">
        <v>154</v>
      </c>
      <c r="I74" s="42"/>
      <c r="J74" s="43"/>
      <c r="K74" s="43">
        <f t="shared" si="3"/>
        <v>20</v>
      </c>
      <c r="L74" s="43"/>
      <c r="M74" s="43"/>
      <c r="N74" s="43"/>
      <c r="O74" s="43"/>
      <c r="P74" s="46">
        <v>20</v>
      </c>
      <c r="Q74" s="47"/>
      <c r="R74" s="40"/>
      <c r="S74" s="42"/>
      <c r="T74" s="41"/>
      <c r="U74" s="41"/>
      <c r="V74" s="48" t="s">
        <v>453</v>
      </c>
      <c r="W74" s="43"/>
      <c r="X74" s="44">
        <v>46177</v>
      </c>
      <c r="Y74" s="41" t="s">
        <v>454</v>
      </c>
      <c r="Z74" s="41"/>
      <c r="AA74" s="41"/>
      <c r="AB74" s="41" t="s">
        <v>937</v>
      </c>
      <c r="AC74" s="49"/>
      <c r="AD74" s="49">
        <v>1212</v>
      </c>
      <c r="AE74" s="50"/>
      <c r="AF74" s="51"/>
      <c r="AG74" s="51"/>
      <c r="AH74" s="52"/>
      <c r="AI74" s="52"/>
      <c r="AJ74" s="53"/>
      <c r="AK74" s="52"/>
      <c r="AL74" s="43">
        <v>18</v>
      </c>
      <c r="AM74" s="168" t="s">
        <v>938</v>
      </c>
      <c r="AN74" s="36"/>
      <c r="AO74" s="36"/>
      <c r="AP74" s="37"/>
    </row>
    <row r="75" spans="1:42" s="38" customFormat="1" ht="18.75" customHeight="1" x14ac:dyDescent="0.25">
      <c r="A75" s="44">
        <v>46177</v>
      </c>
      <c r="B75" s="40">
        <f t="shared" si="2"/>
        <v>46177</v>
      </c>
      <c r="C75" s="41" t="s">
        <v>85</v>
      </c>
      <c r="D75" s="45" t="s">
        <v>86</v>
      </c>
      <c r="E75" s="45">
        <v>31476</v>
      </c>
      <c r="F75" s="45">
        <v>1</v>
      </c>
      <c r="G75" s="191">
        <v>20649249</v>
      </c>
      <c r="H75" s="54" t="s">
        <v>155</v>
      </c>
      <c r="I75" s="42"/>
      <c r="J75" s="43"/>
      <c r="K75" s="43">
        <f t="shared" si="3"/>
        <v>50</v>
      </c>
      <c r="L75" s="43"/>
      <c r="M75" s="43"/>
      <c r="N75" s="43"/>
      <c r="O75" s="43"/>
      <c r="P75" s="46">
        <v>50</v>
      </c>
      <c r="Q75" s="47"/>
      <c r="R75" s="40"/>
      <c r="S75" s="42"/>
      <c r="T75" s="41"/>
      <c r="U75" s="41"/>
      <c r="V75" s="48" t="s">
        <v>453</v>
      </c>
      <c r="W75" s="43"/>
      <c r="X75" s="44">
        <v>46177</v>
      </c>
      <c r="Y75" s="41" t="s">
        <v>454</v>
      </c>
      <c r="Z75" s="41"/>
      <c r="AA75" s="41"/>
      <c r="AB75" s="41" t="s">
        <v>937</v>
      </c>
      <c r="AC75" s="49"/>
      <c r="AD75" s="49">
        <v>1212</v>
      </c>
      <c r="AE75" s="50"/>
      <c r="AF75" s="51"/>
      <c r="AG75" s="51"/>
      <c r="AH75" s="52"/>
      <c r="AI75" s="52"/>
      <c r="AJ75" s="53"/>
      <c r="AK75" s="52"/>
      <c r="AL75" s="43">
        <v>18</v>
      </c>
      <c r="AM75" s="168" t="s">
        <v>938</v>
      </c>
      <c r="AN75" s="36"/>
      <c r="AO75" s="36"/>
      <c r="AP75" s="37"/>
    </row>
    <row r="76" spans="1:42" s="38" customFormat="1" ht="18.75" customHeight="1" x14ac:dyDescent="0.25">
      <c r="A76" s="44">
        <v>46177</v>
      </c>
      <c r="B76" s="40">
        <f t="shared" si="2"/>
        <v>46177</v>
      </c>
      <c r="C76" s="41" t="s">
        <v>85</v>
      </c>
      <c r="D76" s="45" t="s">
        <v>86</v>
      </c>
      <c r="E76" s="45">
        <v>31477</v>
      </c>
      <c r="F76" s="45">
        <v>1</v>
      </c>
      <c r="G76" s="191">
        <v>47968389</v>
      </c>
      <c r="H76" s="54" t="s">
        <v>108</v>
      </c>
      <c r="I76" s="42"/>
      <c r="J76" s="43"/>
      <c r="K76" s="43">
        <f t="shared" si="3"/>
        <v>10</v>
      </c>
      <c r="L76" s="43"/>
      <c r="M76" s="43"/>
      <c r="N76" s="43"/>
      <c r="O76" s="43"/>
      <c r="P76" s="46">
        <v>10</v>
      </c>
      <c r="Q76" s="47"/>
      <c r="R76" s="40"/>
      <c r="S76" s="42"/>
      <c r="T76" s="41"/>
      <c r="U76" s="41"/>
      <c r="V76" s="48" t="s">
        <v>453</v>
      </c>
      <c r="W76" s="43"/>
      <c r="X76" s="44">
        <v>46177</v>
      </c>
      <c r="Y76" s="41" t="s">
        <v>454</v>
      </c>
      <c r="Z76" s="41"/>
      <c r="AA76" s="41"/>
      <c r="AB76" s="41" t="s">
        <v>937</v>
      </c>
      <c r="AC76" s="49"/>
      <c r="AD76" s="49">
        <v>1212</v>
      </c>
      <c r="AE76" s="50"/>
      <c r="AF76" s="51"/>
      <c r="AG76" s="51"/>
      <c r="AH76" s="52"/>
      <c r="AI76" s="52"/>
      <c r="AJ76" s="53"/>
      <c r="AK76" s="52"/>
      <c r="AL76" s="43">
        <v>18</v>
      </c>
      <c r="AM76" s="168" t="s">
        <v>938</v>
      </c>
      <c r="AN76" s="36"/>
      <c r="AO76" s="36"/>
      <c r="AP76" s="37"/>
    </row>
    <row r="77" spans="1:42" s="38" customFormat="1" ht="18.75" customHeight="1" x14ac:dyDescent="0.25">
      <c r="A77" s="44">
        <v>46177</v>
      </c>
      <c r="B77" s="40">
        <f t="shared" si="2"/>
        <v>46177</v>
      </c>
      <c r="C77" s="41" t="s">
        <v>85</v>
      </c>
      <c r="D77" s="45" t="s">
        <v>86</v>
      </c>
      <c r="E77" s="45">
        <v>31478</v>
      </c>
      <c r="F77" s="45">
        <v>1</v>
      </c>
      <c r="G77" s="191">
        <v>47180582</v>
      </c>
      <c r="H77" s="54" t="s">
        <v>156</v>
      </c>
      <c r="I77" s="42"/>
      <c r="J77" s="43"/>
      <c r="K77" s="43">
        <f t="shared" si="3"/>
        <v>58.2</v>
      </c>
      <c r="L77" s="43"/>
      <c r="M77" s="43"/>
      <c r="N77" s="43"/>
      <c r="O77" s="43"/>
      <c r="P77" s="46">
        <v>58.2</v>
      </c>
      <c r="Q77" s="47"/>
      <c r="R77" s="40"/>
      <c r="S77" s="42"/>
      <c r="T77" s="41"/>
      <c r="U77" s="41"/>
      <c r="V77" s="48" t="s">
        <v>453</v>
      </c>
      <c r="W77" s="43"/>
      <c r="X77" s="44">
        <v>46177</v>
      </c>
      <c r="Y77" s="41" t="s">
        <v>454</v>
      </c>
      <c r="Z77" s="41"/>
      <c r="AA77" s="41"/>
      <c r="AB77" s="41" t="s">
        <v>937</v>
      </c>
      <c r="AC77" s="49"/>
      <c r="AD77" s="49">
        <v>1212</v>
      </c>
      <c r="AE77" s="50"/>
      <c r="AF77" s="51"/>
      <c r="AG77" s="51"/>
      <c r="AH77" s="52"/>
      <c r="AI77" s="52"/>
      <c r="AJ77" s="53"/>
      <c r="AK77" s="52"/>
      <c r="AL77" s="43">
        <v>18</v>
      </c>
      <c r="AM77" s="168" t="s">
        <v>938</v>
      </c>
      <c r="AN77" s="36"/>
      <c r="AO77" s="36"/>
      <c r="AP77" s="37"/>
    </row>
    <row r="78" spans="1:42" s="38" customFormat="1" ht="18.75" customHeight="1" x14ac:dyDescent="0.25">
      <c r="A78" s="44">
        <v>46177</v>
      </c>
      <c r="B78" s="40">
        <f t="shared" si="2"/>
        <v>46177</v>
      </c>
      <c r="C78" s="41" t="s">
        <v>85</v>
      </c>
      <c r="D78" s="45" t="s">
        <v>86</v>
      </c>
      <c r="E78" s="45">
        <v>31481</v>
      </c>
      <c r="F78" s="45">
        <v>1</v>
      </c>
      <c r="G78" s="191">
        <v>71807250</v>
      </c>
      <c r="H78" s="54" t="s">
        <v>157</v>
      </c>
      <c r="I78" s="42"/>
      <c r="J78" s="43"/>
      <c r="K78" s="43">
        <f t="shared" si="3"/>
        <v>15</v>
      </c>
      <c r="L78" s="43"/>
      <c r="M78" s="43"/>
      <c r="N78" s="43"/>
      <c r="O78" s="43"/>
      <c r="P78" s="46">
        <v>15</v>
      </c>
      <c r="Q78" s="47"/>
      <c r="R78" s="40"/>
      <c r="S78" s="42"/>
      <c r="T78" s="41"/>
      <c r="U78" s="41"/>
      <c r="V78" s="48" t="s">
        <v>453</v>
      </c>
      <c r="W78" s="43"/>
      <c r="X78" s="44">
        <v>46177</v>
      </c>
      <c r="Y78" s="41" t="s">
        <v>454</v>
      </c>
      <c r="Z78" s="41"/>
      <c r="AA78" s="41"/>
      <c r="AB78" s="41" t="s">
        <v>937</v>
      </c>
      <c r="AC78" s="49"/>
      <c r="AD78" s="49">
        <v>1212</v>
      </c>
      <c r="AE78" s="50"/>
      <c r="AF78" s="51"/>
      <c r="AG78" s="51"/>
      <c r="AH78" s="52"/>
      <c r="AI78" s="52"/>
      <c r="AJ78" s="53"/>
      <c r="AK78" s="52"/>
      <c r="AL78" s="43">
        <v>18</v>
      </c>
      <c r="AM78" s="168" t="s">
        <v>938</v>
      </c>
      <c r="AN78" s="36"/>
      <c r="AO78" s="36"/>
      <c r="AP78" s="37"/>
    </row>
    <row r="79" spans="1:42" s="38" customFormat="1" ht="18.75" customHeight="1" x14ac:dyDescent="0.25">
      <c r="A79" s="44">
        <v>46177</v>
      </c>
      <c r="B79" s="40">
        <f t="shared" si="2"/>
        <v>46177</v>
      </c>
      <c r="C79" s="41" t="s">
        <v>85</v>
      </c>
      <c r="D79" s="45" t="s">
        <v>86</v>
      </c>
      <c r="E79" s="45">
        <v>31482</v>
      </c>
      <c r="F79" s="45">
        <v>1</v>
      </c>
      <c r="G79" s="191">
        <v>20882581</v>
      </c>
      <c r="H79" s="54" t="s">
        <v>158</v>
      </c>
      <c r="I79" s="42"/>
      <c r="J79" s="43"/>
      <c r="K79" s="43">
        <f t="shared" si="3"/>
        <v>10</v>
      </c>
      <c r="L79" s="43"/>
      <c r="M79" s="43"/>
      <c r="N79" s="43"/>
      <c r="O79" s="43"/>
      <c r="P79" s="46">
        <v>10</v>
      </c>
      <c r="Q79" s="47"/>
      <c r="R79" s="40"/>
      <c r="S79" s="42"/>
      <c r="T79" s="41"/>
      <c r="U79" s="41"/>
      <c r="V79" s="48" t="s">
        <v>453</v>
      </c>
      <c r="W79" s="43"/>
      <c r="X79" s="44">
        <v>46177</v>
      </c>
      <c r="Y79" s="41" t="s">
        <v>454</v>
      </c>
      <c r="Z79" s="41"/>
      <c r="AA79" s="41"/>
      <c r="AB79" s="41" t="s">
        <v>937</v>
      </c>
      <c r="AC79" s="49"/>
      <c r="AD79" s="49">
        <v>1212</v>
      </c>
      <c r="AE79" s="50"/>
      <c r="AF79" s="51"/>
      <c r="AG79" s="51"/>
      <c r="AH79" s="52"/>
      <c r="AI79" s="52"/>
      <c r="AJ79" s="53"/>
      <c r="AK79" s="52"/>
      <c r="AL79" s="43">
        <v>18</v>
      </c>
      <c r="AM79" s="168" t="s">
        <v>938</v>
      </c>
      <c r="AN79" s="36"/>
      <c r="AO79" s="36"/>
      <c r="AP79" s="37"/>
    </row>
    <row r="80" spans="1:42" s="38" customFormat="1" ht="18.75" customHeight="1" x14ac:dyDescent="0.25">
      <c r="A80" s="44">
        <v>46177</v>
      </c>
      <c r="B80" s="40">
        <f t="shared" si="2"/>
        <v>46177</v>
      </c>
      <c r="C80" s="41" t="s">
        <v>85</v>
      </c>
      <c r="D80" s="45" t="s">
        <v>86</v>
      </c>
      <c r="E80" s="45">
        <v>31483</v>
      </c>
      <c r="F80" s="45">
        <v>1</v>
      </c>
      <c r="G80" s="191">
        <v>19895060</v>
      </c>
      <c r="H80" s="54" t="s">
        <v>159</v>
      </c>
      <c r="I80" s="42"/>
      <c r="J80" s="43"/>
      <c r="K80" s="43">
        <f t="shared" si="3"/>
        <v>10</v>
      </c>
      <c r="L80" s="43"/>
      <c r="M80" s="43"/>
      <c r="N80" s="43"/>
      <c r="O80" s="43"/>
      <c r="P80" s="46">
        <v>10</v>
      </c>
      <c r="Q80" s="47"/>
      <c r="R80" s="40"/>
      <c r="S80" s="42"/>
      <c r="T80" s="41"/>
      <c r="U80" s="41"/>
      <c r="V80" s="48" t="s">
        <v>453</v>
      </c>
      <c r="W80" s="43"/>
      <c r="X80" s="44">
        <v>46177</v>
      </c>
      <c r="Y80" s="41" t="s">
        <v>454</v>
      </c>
      <c r="Z80" s="41"/>
      <c r="AA80" s="41"/>
      <c r="AB80" s="41" t="s">
        <v>937</v>
      </c>
      <c r="AC80" s="49"/>
      <c r="AD80" s="49">
        <v>1212</v>
      </c>
      <c r="AE80" s="50"/>
      <c r="AF80" s="51"/>
      <c r="AG80" s="51"/>
      <c r="AH80" s="52"/>
      <c r="AI80" s="52"/>
      <c r="AJ80" s="53"/>
      <c r="AK80" s="52"/>
      <c r="AL80" s="43">
        <v>18</v>
      </c>
      <c r="AM80" s="168" t="s">
        <v>938</v>
      </c>
      <c r="AN80" s="36"/>
      <c r="AO80" s="36"/>
      <c r="AP80" s="37"/>
    </row>
    <row r="81" spans="1:42" s="38" customFormat="1" ht="18.75" customHeight="1" x14ac:dyDescent="0.25">
      <c r="A81" s="44">
        <v>46177</v>
      </c>
      <c r="B81" s="40">
        <f t="shared" si="2"/>
        <v>46177</v>
      </c>
      <c r="C81" s="41" t="s">
        <v>85</v>
      </c>
      <c r="D81" s="45" t="s">
        <v>86</v>
      </c>
      <c r="E81" s="45">
        <v>31473</v>
      </c>
      <c r="F81" s="45">
        <v>1</v>
      </c>
      <c r="G81" s="191">
        <v>20105797</v>
      </c>
      <c r="H81" s="54" t="s">
        <v>160</v>
      </c>
      <c r="I81" s="42"/>
      <c r="J81" s="43"/>
      <c r="K81" s="43">
        <f t="shared" si="3"/>
        <v>255</v>
      </c>
      <c r="L81" s="43"/>
      <c r="M81" s="43"/>
      <c r="N81" s="43"/>
      <c r="O81" s="43"/>
      <c r="P81" s="46">
        <v>255</v>
      </c>
      <c r="Q81" s="47"/>
      <c r="R81" s="40"/>
      <c r="S81" s="42"/>
      <c r="T81" s="41"/>
      <c r="U81" s="41"/>
      <c r="V81" s="48" t="s">
        <v>453</v>
      </c>
      <c r="W81" s="43"/>
      <c r="X81" s="44">
        <v>46177</v>
      </c>
      <c r="Y81" s="41" t="s">
        <v>454</v>
      </c>
      <c r="Z81" s="41"/>
      <c r="AA81" s="41"/>
      <c r="AB81" s="41" t="s">
        <v>937</v>
      </c>
      <c r="AC81" s="49"/>
      <c r="AD81" s="49">
        <v>1212</v>
      </c>
      <c r="AE81" s="50"/>
      <c r="AF81" s="51"/>
      <c r="AG81" s="51"/>
      <c r="AH81" s="52"/>
      <c r="AI81" s="52"/>
      <c r="AJ81" s="53"/>
      <c r="AK81" s="52"/>
      <c r="AL81" s="43">
        <v>18</v>
      </c>
      <c r="AM81" s="168" t="s">
        <v>938</v>
      </c>
      <c r="AN81" s="36"/>
      <c r="AO81" s="36"/>
      <c r="AP81" s="37"/>
    </row>
    <row r="82" spans="1:42" s="38" customFormat="1" ht="18.75" customHeight="1" x14ac:dyDescent="0.25">
      <c r="A82" s="44">
        <v>46177</v>
      </c>
      <c r="B82" s="40">
        <f t="shared" si="2"/>
        <v>46177</v>
      </c>
      <c r="C82" s="41" t="s">
        <v>85</v>
      </c>
      <c r="D82" s="45" t="s">
        <v>86</v>
      </c>
      <c r="E82" s="45">
        <v>31480</v>
      </c>
      <c r="F82" s="45">
        <v>1</v>
      </c>
      <c r="G82" s="191">
        <v>45547961</v>
      </c>
      <c r="H82" s="54" t="s">
        <v>161</v>
      </c>
      <c r="I82" s="42"/>
      <c r="J82" s="43"/>
      <c r="K82" s="43">
        <f t="shared" si="3"/>
        <v>30</v>
      </c>
      <c r="L82" s="43"/>
      <c r="M82" s="43"/>
      <c r="N82" s="43"/>
      <c r="O82" s="43"/>
      <c r="P82" s="46">
        <v>30</v>
      </c>
      <c r="Q82" s="47"/>
      <c r="R82" s="40"/>
      <c r="S82" s="42"/>
      <c r="T82" s="41"/>
      <c r="U82" s="41"/>
      <c r="V82" s="48" t="s">
        <v>453</v>
      </c>
      <c r="W82" s="43"/>
      <c r="X82" s="44">
        <v>46177</v>
      </c>
      <c r="Y82" s="41" t="s">
        <v>454</v>
      </c>
      <c r="Z82" s="41"/>
      <c r="AA82" s="41"/>
      <c r="AB82" s="41" t="s">
        <v>937</v>
      </c>
      <c r="AC82" s="49"/>
      <c r="AD82" s="49">
        <v>1212</v>
      </c>
      <c r="AE82" s="50"/>
      <c r="AF82" s="51"/>
      <c r="AG82" s="51"/>
      <c r="AH82" s="52"/>
      <c r="AI82" s="52"/>
      <c r="AJ82" s="53"/>
      <c r="AK82" s="52"/>
      <c r="AL82" s="43">
        <v>18</v>
      </c>
      <c r="AM82" s="168" t="s">
        <v>938</v>
      </c>
      <c r="AN82" s="36"/>
      <c r="AO82" s="36"/>
      <c r="AP82" s="37"/>
    </row>
    <row r="83" spans="1:42" s="38" customFormat="1" ht="18.75" customHeight="1" x14ac:dyDescent="0.25">
      <c r="A83" s="44">
        <v>46177</v>
      </c>
      <c r="B83" s="40">
        <f t="shared" si="2"/>
        <v>46177</v>
      </c>
      <c r="C83" s="41" t="s">
        <v>85</v>
      </c>
      <c r="D83" s="45" t="s">
        <v>86</v>
      </c>
      <c r="E83" s="45">
        <v>31479</v>
      </c>
      <c r="F83" s="45">
        <v>1</v>
      </c>
      <c r="G83" s="191">
        <v>70525107</v>
      </c>
      <c r="H83" s="54" t="s">
        <v>162</v>
      </c>
      <c r="I83" s="42"/>
      <c r="J83" s="43"/>
      <c r="K83" s="43">
        <f t="shared" si="3"/>
        <v>12.5</v>
      </c>
      <c r="L83" s="43"/>
      <c r="M83" s="43"/>
      <c r="N83" s="43"/>
      <c r="O83" s="43"/>
      <c r="P83" s="46">
        <v>12.5</v>
      </c>
      <c r="Q83" s="47"/>
      <c r="R83" s="40"/>
      <c r="S83" s="42"/>
      <c r="T83" s="41"/>
      <c r="U83" s="41"/>
      <c r="V83" s="48" t="s">
        <v>453</v>
      </c>
      <c r="W83" s="43"/>
      <c r="X83" s="44">
        <v>46177</v>
      </c>
      <c r="Y83" s="41" t="s">
        <v>454</v>
      </c>
      <c r="Z83" s="41"/>
      <c r="AA83" s="41"/>
      <c r="AB83" s="41" t="s">
        <v>937</v>
      </c>
      <c r="AC83" s="49"/>
      <c r="AD83" s="49">
        <v>1212</v>
      </c>
      <c r="AE83" s="50"/>
      <c r="AF83" s="51"/>
      <c r="AG83" s="51"/>
      <c r="AH83" s="52"/>
      <c r="AI83" s="52"/>
      <c r="AJ83" s="53"/>
      <c r="AK83" s="52"/>
      <c r="AL83" s="43">
        <v>18</v>
      </c>
      <c r="AM83" s="168" t="s">
        <v>938</v>
      </c>
      <c r="AN83" s="36"/>
      <c r="AO83" s="36"/>
      <c r="AP83" s="37"/>
    </row>
    <row r="84" spans="1:42" s="38" customFormat="1" ht="18.75" customHeight="1" x14ac:dyDescent="0.25">
      <c r="A84" s="44">
        <v>46178</v>
      </c>
      <c r="B84" s="40">
        <f t="shared" si="2"/>
        <v>46178</v>
      </c>
      <c r="C84" s="41" t="s">
        <v>85</v>
      </c>
      <c r="D84" s="45" t="s">
        <v>86</v>
      </c>
      <c r="E84" s="45">
        <v>31484</v>
      </c>
      <c r="F84" s="45">
        <v>1</v>
      </c>
      <c r="G84" s="191">
        <v>45033779</v>
      </c>
      <c r="H84" s="54" t="s">
        <v>145</v>
      </c>
      <c r="I84" s="42"/>
      <c r="J84" s="43"/>
      <c r="K84" s="43">
        <f t="shared" si="3"/>
        <v>4.2</v>
      </c>
      <c r="L84" s="43"/>
      <c r="M84" s="43"/>
      <c r="N84" s="43"/>
      <c r="O84" s="43"/>
      <c r="P84" s="46">
        <v>4.2</v>
      </c>
      <c r="Q84" s="47"/>
      <c r="R84" s="40"/>
      <c r="S84" s="42"/>
      <c r="T84" s="41"/>
      <c r="U84" s="41"/>
      <c r="V84" s="48" t="s">
        <v>453</v>
      </c>
      <c r="W84" s="43"/>
      <c r="X84" s="44">
        <v>46178</v>
      </c>
      <c r="Y84" s="41" t="s">
        <v>454</v>
      </c>
      <c r="Z84" s="41"/>
      <c r="AA84" s="41"/>
      <c r="AB84" s="41" t="s">
        <v>937</v>
      </c>
      <c r="AC84" s="49"/>
      <c r="AD84" s="49">
        <v>1212</v>
      </c>
      <c r="AE84" s="50"/>
      <c r="AF84" s="51"/>
      <c r="AG84" s="51"/>
      <c r="AH84" s="52"/>
      <c r="AI84" s="52"/>
      <c r="AJ84" s="53"/>
      <c r="AK84" s="52"/>
      <c r="AL84" s="43">
        <v>18</v>
      </c>
      <c r="AM84" s="168" t="s">
        <v>938</v>
      </c>
      <c r="AN84" s="36"/>
      <c r="AO84" s="36"/>
      <c r="AP84" s="37"/>
    </row>
    <row r="85" spans="1:42" s="38" customFormat="1" ht="18.75" customHeight="1" x14ac:dyDescent="0.25">
      <c r="A85" s="44">
        <v>46178</v>
      </c>
      <c r="B85" s="40">
        <f t="shared" si="2"/>
        <v>46178</v>
      </c>
      <c r="C85" s="41" t="s">
        <v>85</v>
      </c>
      <c r="D85" s="45" t="s">
        <v>86</v>
      </c>
      <c r="E85" s="45">
        <v>31485</v>
      </c>
      <c r="F85" s="45">
        <v>1</v>
      </c>
      <c r="G85" s="191">
        <v>42844045</v>
      </c>
      <c r="H85" s="54" t="s">
        <v>163</v>
      </c>
      <c r="I85" s="42"/>
      <c r="J85" s="43"/>
      <c r="K85" s="43">
        <f t="shared" si="3"/>
        <v>76.900000000000006</v>
      </c>
      <c r="L85" s="43"/>
      <c r="M85" s="43"/>
      <c r="N85" s="43"/>
      <c r="O85" s="43"/>
      <c r="P85" s="46">
        <v>76.900000000000006</v>
      </c>
      <c r="Q85" s="47"/>
      <c r="R85" s="40"/>
      <c r="S85" s="42"/>
      <c r="T85" s="41"/>
      <c r="U85" s="41"/>
      <c r="V85" s="48" t="s">
        <v>453</v>
      </c>
      <c r="W85" s="43"/>
      <c r="X85" s="44">
        <v>46178</v>
      </c>
      <c r="Y85" s="41" t="s">
        <v>454</v>
      </c>
      <c r="Z85" s="41"/>
      <c r="AA85" s="41"/>
      <c r="AB85" s="41" t="s">
        <v>937</v>
      </c>
      <c r="AC85" s="49"/>
      <c r="AD85" s="49">
        <v>1212</v>
      </c>
      <c r="AE85" s="50"/>
      <c r="AF85" s="51"/>
      <c r="AG85" s="51"/>
      <c r="AH85" s="52"/>
      <c r="AI85" s="52"/>
      <c r="AJ85" s="53"/>
      <c r="AK85" s="52"/>
      <c r="AL85" s="43">
        <v>18</v>
      </c>
      <c r="AM85" s="168" t="s">
        <v>938</v>
      </c>
      <c r="AN85" s="36"/>
      <c r="AO85" s="36"/>
      <c r="AP85" s="37"/>
    </row>
    <row r="86" spans="1:42" s="38" customFormat="1" ht="18.75" customHeight="1" x14ac:dyDescent="0.25">
      <c r="A86" s="44">
        <v>46178</v>
      </c>
      <c r="B86" s="40">
        <f t="shared" si="2"/>
        <v>46178</v>
      </c>
      <c r="C86" s="41" t="s">
        <v>85</v>
      </c>
      <c r="D86" s="45" t="s">
        <v>86</v>
      </c>
      <c r="E86" s="45">
        <v>31486</v>
      </c>
      <c r="F86" s="45">
        <v>6</v>
      </c>
      <c r="G86" s="191">
        <v>20603590687</v>
      </c>
      <c r="H86" s="54" t="s">
        <v>137</v>
      </c>
      <c r="I86" s="42"/>
      <c r="J86" s="43"/>
      <c r="K86" s="43">
        <f t="shared" si="3"/>
        <v>100</v>
      </c>
      <c r="L86" s="43"/>
      <c r="M86" s="43"/>
      <c r="N86" s="43"/>
      <c r="O86" s="43"/>
      <c r="P86" s="46">
        <v>100</v>
      </c>
      <c r="Q86" s="47"/>
      <c r="R86" s="40"/>
      <c r="S86" s="42"/>
      <c r="T86" s="41"/>
      <c r="U86" s="41"/>
      <c r="V86" s="48" t="s">
        <v>453</v>
      </c>
      <c r="W86" s="43"/>
      <c r="X86" s="44">
        <v>46178</v>
      </c>
      <c r="Y86" s="41" t="s">
        <v>454</v>
      </c>
      <c r="Z86" s="41"/>
      <c r="AA86" s="41"/>
      <c r="AB86" s="41" t="s">
        <v>937</v>
      </c>
      <c r="AC86" s="49"/>
      <c r="AD86" s="49">
        <v>1212</v>
      </c>
      <c r="AE86" s="50"/>
      <c r="AF86" s="51"/>
      <c r="AG86" s="51"/>
      <c r="AH86" s="52"/>
      <c r="AI86" s="52"/>
      <c r="AJ86" s="53"/>
      <c r="AK86" s="52"/>
      <c r="AL86" s="43">
        <v>18</v>
      </c>
      <c r="AM86" s="168" t="s">
        <v>938</v>
      </c>
      <c r="AN86" s="36"/>
      <c r="AO86" s="36"/>
      <c r="AP86" s="37"/>
    </row>
    <row r="87" spans="1:42" s="38" customFormat="1" ht="18.75" customHeight="1" x14ac:dyDescent="0.25">
      <c r="A87" s="44">
        <v>46178</v>
      </c>
      <c r="B87" s="40">
        <f t="shared" si="2"/>
        <v>46178</v>
      </c>
      <c r="C87" s="41" t="s">
        <v>85</v>
      </c>
      <c r="D87" s="45" t="s">
        <v>86</v>
      </c>
      <c r="E87" s="45">
        <v>31488</v>
      </c>
      <c r="F87" s="45">
        <v>1</v>
      </c>
      <c r="G87" s="191">
        <v>44955035</v>
      </c>
      <c r="H87" s="54" t="s">
        <v>164</v>
      </c>
      <c r="I87" s="42"/>
      <c r="J87" s="43"/>
      <c r="K87" s="43">
        <f t="shared" si="3"/>
        <v>12.5</v>
      </c>
      <c r="L87" s="43"/>
      <c r="M87" s="43"/>
      <c r="N87" s="43"/>
      <c r="O87" s="43"/>
      <c r="P87" s="46">
        <v>12.5</v>
      </c>
      <c r="Q87" s="47"/>
      <c r="R87" s="40"/>
      <c r="S87" s="42"/>
      <c r="T87" s="41"/>
      <c r="U87" s="41"/>
      <c r="V87" s="48" t="s">
        <v>453</v>
      </c>
      <c r="W87" s="43"/>
      <c r="X87" s="44">
        <v>46178</v>
      </c>
      <c r="Y87" s="41" t="s">
        <v>454</v>
      </c>
      <c r="Z87" s="41"/>
      <c r="AA87" s="41"/>
      <c r="AB87" s="41" t="s">
        <v>937</v>
      </c>
      <c r="AC87" s="49"/>
      <c r="AD87" s="49">
        <v>1212</v>
      </c>
      <c r="AE87" s="50"/>
      <c r="AF87" s="51"/>
      <c r="AG87" s="51"/>
      <c r="AH87" s="52"/>
      <c r="AI87" s="52"/>
      <c r="AJ87" s="53"/>
      <c r="AK87" s="52"/>
      <c r="AL87" s="43">
        <v>18</v>
      </c>
      <c r="AM87" s="168" t="s">
        <v>938</v>
      </c>
      <c r="AN87" s="36"/>
      <c r="AO87" s="36"/>
      <c r="AP87" s="37"/>
    </row>
    <row r="88" spans="1:42" s="38" customFormat="1" ht="18.75" customHeight="1" x14ac:dyDescent="0.25">
      <c r="A88" s="44">
        <v>46178</v>
      </c>
      <c r="B88" s="40">
        <f t="shared" si="2"/>
        <v>46178</v>
      </c>
      <c r="C88" s="41" t="s">
        <v>85</v>
      </c>
      <c r="D88" s="45" t="s">
        <v>86</v>
      </c>
      <c r="E88" s="45">
        <v>31489</v>
      </c>
      <c r="F88" s="45">
        <v>1</v>
      </c>
      <c r="G88" s="191">
        <v>44833285</v>
      </c>
      <c r="H88" s="54" t="s">
        <v>165</v>
      </c>
      <c r="I88" s="42"/>
      <c r="J88" s="43"/>
      <c r="K88" s="43">
        <f t="shared" si="3"/>
        <v>35</v>
      </c>
      <c r="L88" s="43"/>
      <c r="M88" s="43"/>
      <c r="N88" s="43"/>
      <c r="O88" s="43"/>
      <c r="P88" s="46">
        <v>35</v>
      </c>
      <c r="Q88" s="47"/>
      <c r="R88" s="40"/>
      <c r="S88" s="42"/>
      <c r="T88" s="41"/>
      <c r="U88" s="41"/>
      <c r="V88" s="48" t="s">
        <v>453</v>
      </c>
      <c r="W88" s="43"/>
      <c r="X88" s="44">
        <v>46178</v>
      </c>
      <c r="Y88" s="41" t="s">
        <v>454</v>
      </c>
      <c r="Z88" s="41"/>
      <c r="AA88" s="41"/>
      <c r="AB88" s="41" t="s">
        <v>937</v>
      </c>
      <c r="AC88" s="49"/>
      <c r="AD88" s="49">
        <v>1212</v>
      </c>
      <c r="AE88" s="50"/>
      <c r="AF88" s="51"/>
      <c r="AG88" s="51"/>
      <c r="AH88" s="52"/>
      <c r="AI88" s="52"/>
      <c r="AJ88" s="53"/>
      <c r="AK88" s="52"/>
      <c r="AL88" s="43">
        <v>18</v>
      </c>
      <c r="AM88" s="168" t="s">
        <v>938</v>
      </c>
      <c r="AN88" s="36"/>
      <c r="AO88" s="36"/>
      <c r="AP88" s="37"/>
    </row>
    <row r="89" spans="1:42" s="38" customFormat="1" ht="18.75" customHeight="1" x14ac:dyDescent="0.25">
      <c r="A89" s="44">
        <v>46178</v>
      </c>
      <c r="B89" s="40">
        <f t="shared" si="2"/>
        <v>46178</v>
      </c>
      <c r="C89" s="41" t="s">
        <v>85</v>
      </c>
      <c r="D89" s="45" t="s">
        <v>86</v>
      </c>
      <c r="E89" s="45">
        <v>31490</v>
      </c>
      <c r="F89" s="45">
        <v>1</v>
      </c>
      <c r="G89" s="191">
        <v>41054120</v>
      </c>
      <c r="H89" s="54" t="s">
        <v>166</v>
      </c>
      <c r="I89" s="42"/>
      <c r="J89" s="43"/>
      <c r="K89" s="43">
        <f t="shared" si="3"/>
        <v>25</v>
      </c>
      <c r="L89" s="43"/>
      <c r="M89" s="43"/>
      <c r="N89" s="43"/>
      <c r="O89" s="43"/>
      <c r="P89" s="46">
        <v>25</v>
      </c>
      <c r="Q89" s="47"/>
      <c r="R89" s="40"/>
      <c r="S89" s="42"/>
      <c r="T89" s="41"/>
      <c r="U89" s="41"/>
      <c r="V89" s="48" t="s">
        <v>453</v>
      </c>
      <c r="W89" s="43"/>
      <c r="X89" s="44">
        <v>46178</v>
      </c>
      <c r="Y89" s="41" t="s">
        <v>454</v>
      </c>
      <c r="Z89" s="41"/>
      <c r="AA89" s="41"/>
      <c r="AB89" s="41" t="s">
        <v>937</v>
      </c>
      <c r="AC89" s="49"/>
      <c r="AD89" s="49">
        <v>1212</v>
      </c>
      <c r="AE89" s="50"/>
      <c r="AF89" s="51"/>
      <c r="AG89" s="51"/>
      <c r="AH89" s="52"/>
      <c r="AI89" s="52"/>
      <c r="AJ89" s="53"/>
      <c r="AK89" s="52"/>
      <c r="AL89" s="43">
        <v>18</v>
      </c>
      <c r="AM89" s="168" t="s">
        <v>938</v>
      </c>
      <c r="AN89" s="36"/>
      <c r="AO89" s="36"/>
      <c r="AP89" s="37"/>
    </row>
    <row r="90" spans="1:42" s="38" customFormat="1" ht="18.75" customHeight="1" x14ac:dyDescent="0.25">
      <c r="A90" s="44">
        <v>46178</v>
      </c>
      <c r="B90" s="40">
        <f t="shared" si="2"/>
        <v>46178</v>
      </c>
      <c r="C90" s="41" t="s">
        <v>85</v>
      </c>
      <c r="D90" s="45" t="s">
        <v>86</v>
      </c>
      <c r="E90" s="45">
        <v>31491</v>
      </c>
      <c r="F90" s="45">
        <v>1</v>
      </c>
      <c r="G90" s="191">
        <v>46897693</v>
      </c>
      <c r="H90" s="54" t="s">
        <v>167</v>
      </c>
      <c r="I90" s="42"/>
      <c r="J90" s="43"/>
      <c r="K90" s="43">
        <f t="shared" si="3"/>
        <v>15</v>
      </c>
      <c r="L90" s="43"/>
      <c r="M90" s="43"/>
      <c r="N90" s="43"/>
      <c r="O90" s="43"/>
      <c r="P90" s="46">
        <v>15</v>
      </c>
      <c r="Q90" s="47"/>
      <c r="R90" s="40"/>
      <c r="S90" s="42"/>
      <c r="T90" s="41"/>
      <c r="U90" s="41"/>
      <c r="V90" s="48" t="s">
        <v>453</v>
      </c>
      <c r="W90" s="43"/>
      <c r="X90" s="44">
        <v>46178</v>
      </c>
      <c r="Y90" s="41" t="s">
        <v>454</v>
      </c>
      <c r="Z90" s="41"/>
      <c r="AA90" s="41"/>
      <c r="AB90" s="41" t="s">
        <v>937</v>
      </c>
      <c r="AC90" s="49"/>
      <c r="AD90" s="49">
        <v>1212</v>
      </c>
      <c r="AE90" s="50"/>
      <c r="AF90" s="51"/>
      <c r="AG90" s="51"/>
      <c r="AH90" s="52"/>
      <c r="AI90" s="52"/>
      <c r="AJ90" s="53"/>
      <c r="AK90" s="52"/>
      <c r="AL90" s="43">
        <v>18</v>
      </c>
      <c r="AM90" s="168" t="s">
        <v>938</v>
      </c>
      <c r="AN90" s="36"/>
      <c r="AO90" s="36"/>
      <c r="AP90" s="37"/>
    </row>
    <row r="91" spans="1:42" s="38" customFormat="1" ht="18.75" customHeight="1" x14ac:dyDescent="0.25">
      <c r="A91" s="44">
        <v>46178</v>
      </c>
      <c r="B91" s="40">
        <f t="shared" si="2"/>
        <v>46178</v>
      </c>
      <c r="C91" s="41" t="s">
        <v>85</v>
      </c>
      <c r="D91" s="45" t="s">
        <v>86</v>
      </c>
      <c r="E91" s="45">
        <v>31492</v>
      </c>
      <c r="F91" s="45">
        <v>1</v>
      </c>
      <c r="G91" s="191">
        <v>20433159</v>
      </c>
      <c r="H91" s="54" t="s">
        <v>168</v>
      </c>
      <c r="I91" s="42"/>
      <c r="J91" s="43"/>
      <c r="K91" s="43">
        <f t="shared" si="3"/>
        <v>15</v>
      </c>
      <c r="L91" s="43"/>
      <c r="M91" s="43"/>
      <c r="N91" s="43"/>
      <c r="O91" s="43"/>
      <c r="P91" s="46">
        <v>15</v>
      </c>
      <c r="Q91" s="47"/>
      <c r="R91" s="40"/>
      <c r="S91" s="42"/>
      <c r="T91" s="41"/>
      <c r="U91" s="41"/>
      <c r="V91" s="48" t="s">
        <v>453</v>
      </c>
      <c r="W91" s="43"/>
      <c r="X91" s="44">
        <v>46178</v>
      </c>
      <c r="Y91" s="41" t="s">
        <v>454</v>
      </c>
      <c r="Z91" s="41"/>
      <c r="AA91" s="41"/>
      <c r="AB91" s="41" t="s">
        <v>937</v>
      </c>
      <c r="AC91" s="49"/>
      <c r="AD91" s="49">
        <v>1212</v>
      </c>
      <c r="AE91" s="50"/>
      <c r="AF91" s="51"/>
      <c r="AG91" s="51"/>
      <c r="AH91" s="52"/>
      <c r="AI91" s="52"/>
      <c r="AJ91" s="53"/>
      <c r="AK91" s="52"/>
      <c r="AL91" s="43">
        <v>18</v>
      </c>
      <c r="AM91" s="168" t="s">
        <v>938</v>
      </c>
      <c r="AN91" s="36"/>
      <c r="AO91" s="36"/>
      <c r="AP91" s="37"/>
    </row>
    <row r="92" spans="1:42" s="38" customFormat="1" ht="18.75" customHeight="1" x14ac:dyDescent="0.25">
      <c r="A92" s="44">
        <v>46178</v>
      </c>
      <c r="B92" s="40">
        <f t="shared" si="2"/>
        <v>46178</v>
      </c>
      <c r="C92" s="41" t="s">
        <v>85</v>
      </c>
      <c r="D92" s="45" t="s">
        <v>86</v>
      </c>
      <c r="E92" s="45">
        <v>31493</v>
      </c>
      <c r="F92" s="45">
        <v>1</v>
      </c>
      <c r="G92" s="191">
        <v>19929072</v>
      </c>
      <c r="H92" s="54" t="s">
        <v>100</v>
      </c>
      <c r="I92" s="42"/>
      <c r="J92" s="43"/>
      <c r="K92" s="43">
        <f t="shared" si="3"/>
        <v>14.6</v>
      </c>
      <c r="L92" s="43"/>
      <c r="M92" s="43"/>
      <c r="N92" s="43"/>
      <c r="O92" s="43"/>
      <c r="P92" s="46">
        <v>14.6</v>
      </c>
      <c r="Q92" s="47"/>
      <c r="R92" s="40"/>
      <c r="S92" s="42"/>
      <c r="T92" s="41"/>
      <c r="U92" s="41"/>
      <c r="V92" s="48" t="s">
        <v>453</v>
      </c>
      <c r="W92" s="43"/>
      <c r="X92" s="44">
        <v>46178</v>
      </c>
      <c r="Y92" s="41" t="s">
        <v>454</v>
      </c>
      <c r="Z92" s="41"/>
      <c r="AA92" s="41"/>
      <c r="AB92" s="41" t="s">
        <v>937</v>
      </c>
      <c r="AC92" s="49"/>
      <c r="AD92" s="49">
        <v>1212</v>
      </c>
      <c r="AE92" s="50"/>
      <c r="AF92" s="51"/>
      <c r="AG92" s="51"/>
      <c r="AH92" s="52"/>
      <c r="AI92" s="52"/>
      <c r="AJ92" s="53"/>
      <c r="AK92" s="52"/>
      <c r="AL92" s="43">
        <v>18</v>
      </c>
      <c r="AM92" s="168" t="s">
        <v>938</v>
      </c>
      <c r="AN92" s="36"/>
      <c r="AO92" s="36"/>
      <c r="AP92" s="37"/>
    </row>
    <row r="93" spans="1:42" s="38" customFormat="1" ht="18.75" customHeight="1" x14ac:dyDescent="0.25">
      <c r="A93" s="44">
        <v>46178</v>
      </c>
      <c r="B93" s="40">
        <f t="shared" si="2"/>
        <v>46178</v>
      </c>
      <c r="C93" s="41" t="s">
        <v>85</v>
      </c>
      <c r="D93" s="45" t="s">
        <v>86</v>
      </c>
      <c r="E93" s="45">
        <v>31494</v>
      </c>
      <c r="F93" s="45">
        <v>1</v>
      </c>
      <c r="G93" s="191">
        <v>62437139</v>
      </c>
      <c r="H93" s="54" t="s">
        <v>169</v>
      </c>
      <c r="I93" s="42"/>
      <c r="J93" s="43"/>
      <c r="K93" s="43">
        <f t="shared" si="3"/>
        <v>9.5</v>
      </c>
      <c r="L93" s="43"/>
      <c r="M93" s="43"/>
      <c r="N93" s="43"/>
      <c r="O93" s="43"/>
      <c r="P93" s="46">
        <v>9.5</v>
      </c>
      <c r="Q93" s="47"/>
      <c r="R93" s="40"/>
      <c r="S93" s="42"/>
      <c r="T93" s="41"/>
      <c r="U93" s="41"/>
      <c r="V93" s="48" t="s">
        <v>453</v>
      </c>
      <c r="W93" s="43"/>
      <c r="X93" s="44">
        <v>46178</v>
      </c>
      <c r="Y93" s="41" t="s">
        <v>454</v>
      </c>
      <c r="Z93" s="41"/>
      <c r="AA93" s="41"/>
      <c r="AB93" s="41" t="s">
        <v>937</v>
      </c>
      <c r="AC93" s="49"/>
      <c r="AD93" s="49">
        <v>1212</v>
      </c>
      <c r="AE93" s="50"/>
      <c r="AF93" s="51"/>
      <c r="AG93" s="51"/>
      <c r="AH93" s="52"/>
      <c r="AI93" s="52"/>
      <c r="AJ93" s="53"/>
      <c r="AK93" s="52"/>
      <c r="AL93" s="43">
        <v>18</v>
      </c>
      <c r="AM93" s="168" t="s">
        <v>938</v>
      </c>
      <c r="AN93" s="36"/>
      <c r="AO93" s="36"/>
      <c r="AP93" s="37"/>
    </row>
    <row r="94" spans="1:42" s="190" customFormat="1" ht="18.75" customHeight="1" x14ac:dyDescent="0.25">
      <c r="A94" s="172">
        <v>46178</v>
      </c>
      <c r="B94" s="173">
        <f t="shared" si="2"/>
        <v>46178</v>
      </c>
      <c r="C94" s="174" t="s">
        <v>85</v>
      </c>
      <c r="D94" s="175" t="s">
        <v>86</v>
      </c>
      <c r="E94" s="175">
        <v>31495</v>
      </c>
      <c r="F94" s="175">
        <v>1</v>
      </c>
      <c r="G94" s="192" t="s">
        <v>928</v>
      </c>
      <c r="H94" s="176" t="s">
        <v>170</v>
      </c>
      <c r="I94" s="177"/>
      <c r="J94" s="178"/>
      <c r="K94" s="178">
        <f t="shared" si="3"/>
        <v>14.9</v>
      </c>
      <c r="L94" s="178"/>
      <c r="M94" s="178"/>
      <c r="N94" s="178"/>
      <c r="O94" s="178"/>
      <c r="P94" s="179">
        <v>14.9</v>
      </c>
      <c r="Q94" s="180"/>
      <c r="R94" s="173"/>
      <c r="S94" s="177"/>
      <c r="T94" s="174"/>
      <c r="U94" s="174"/>
      <c r="V94" s="181" t="s">
        <v>453</v>
      </c>
      <c r="W94" s="178"/>
      <c r="X94" s="172">
        <v>46178</v>
      </c>
      <c r="Y94" s="174" t="s">
        <v>454</v>
      </c>
      <c r="Z94" s="174"/>
      <c r="AA94" s="174"/>
      <c r="AB94" s="174" t="s">
        <v>937</v>
      </c>
      <c r="AC94" s="182"/>
      <c r="AD94" s="182">
        <v>1212</v>
      </c>
      <c r="AE94" s="183"/>
      <c r="AF94" s="184"/>
      <c r="AG94" s="184"/>
      <c r="AH94" s="185"/>
      <c r="AI94" s="185"/>
      <c r="AJ94" s="186"/>
      <c r="AK94" s="185"/>
      <c r="AL94" s="178">
        <v>18</v>
      </c>
      <c r="AM94" s="187" t="s">
        <v>938</v>
      </c>
      <c r="AN94" s="188"/>
      <c r="AO94" s="188"/>
      <c r="AP94" s="189"/>
    </row>
    <row r="95" spans="1:42" s="38" customFormat="1" ht="18.75" customHeight="1" x14ac:dyDescent="0.25">
      <c r="A95" s="44">
        <v>46178</v>
      </c>
      <c r="B95" s="40">
        <f t="shared" si="2"/>
        <v>46178</v>
      </c>
      <c r="C95" s="41" t="s">
        <v>85</v>
      </c>
      <c r="D95" s="45" t="s">
        <v>86</v>
      </c>
      <c r="E95" s="45">
        <v>31496</v>
      </c>
      <c r="F95" s="45">
        <v>1</v>
      </c>
      <c r="G95" s="191">
        <v>42744203</v>
      </c>
      <c r="H95" s="54" t="s">
        <v>171</v>
      </c>
      <c r="I95" s="42"/>
      <c r="J95" s="43"/>
      <c r="K95" s="43">
        <f t="shared" si="3"/>
        <v>10</v>
      </c>
      <c r="L95" s="43"/>
      <c r="M95" s="43"/>
      <c r="N95" s="43"/>
      <c r="O95" s="43"/>
      <c r="P95" s="46">
        <v>10</v>
      </c>
      <c r="Q95" s="47"/>
      <c r="R95" s="40"/>
      <c r="S95" s="42"/>
      <c r="T95" s="41"/>
      <c r="U95" s="41"/>
      <c r="V95" s="48" t="s">
        <v>453</v>
      </c>
      <c r="W95" s="43"/>
      <c r="X95" s="44">
        <v>46178</v>
      </c>
      <c r="Y95" s="41" t="s">
        <v>454</v>
      </c>
      <c r="Z95" s="41"/>
      <c r="AA95" s="41"/>
      <c r="AB95" s="41" t="s">
        <v>937</v>
      </c>
      <c r="AC95" s="49"/>
      <c r="AD95" s="49">
        <v>1212</v>
      </c>
      <c r="AE95" s="50"/>
      <c r="AF95" s="51"/>
      <c r="AG95" s="51"/>
      <c r="AH95" s="52"/>
      <c r="AI95" s="52"/>
      <c r="AJ95" s="53"/>
      <c r="AK95" s="52"/>
      <c r="AL95" s="43">
        <v>18</v>
      </c>
      <c r="AM95" s="168" t="s">
        <v>938</v>
      </c>
      <c r="AN95" s="36"/>
      <c r="AO95" s="36"/>
      <c r="AP95" s="37"/>
    </row>
    <row r="96" spans="1:42" s="38" customFormat="1" ht="18.75" customHeight="1" x14ac:dyDescent="0.25">
      <c r="A96" s="44">
        <v>46178</v>
      </c>
      <c r="B96" s="40">
        <f t="shared" si="2"/>
        <v>46178</v>
      </c>
      <c r="C96" s="41" t="s">
        <v>85</v>
      </c>
      <c r="D96" s="45" t="s">
        <v>86</v>
      </c>
      <c r="E96" s="45">
        <v>31497</v>
      </c>
      <c r="F96" s="45">
        <v>1</v>
      </c>
      <c r="G96" s="191">
        <v>19972062</v>
      </c>
      <c r="H96" s="54" t="s">
        <v>172</v>
      </c>
      <c r="I96" s="42"/>
      <c r="J96" s="43"/>
      <c r="K96" s="43">
        <f t="shared" si="3"/>
        <v>10</v>
      </c>
      <c r="L96" s="43"/>
      <c r="M96" s="43"/>
      <c r="N96" s="43"/>
      <c r="O96" s="43"/>
      <c r="P96" s="46">
        <v>10</v>
      </c>
      <c r="Q96" s="47"/>
      <c r="R96" s="40"/>
      <c r="S96" s="42"/>
      <c r="T96" s="41"/>
      <c r="U96" s="41"/>
      <c r="V96" s="48" t="s">
        <v>453</v>
      </c>
      <c r="W96" s="43"/>
      <c r="X96" s="44">
        <v>46178</v>
      </c>
      <c r="Y96" s="41" t="s">
        <v>454</v>
      </c>
      <c r="Z96" s="41"/>
      <c r="AA96" s="41"/>
      <c r="AB96" s="41" t="s">
        <v>937</v>
      </c>
      <c r="AC96" s="49"/>
      <c r="AD96" s="49">
        <v>1212</v>
      </c>
      <c r="AE96" s="50"/>
      <c r="AF96" s="51"/>
      <c r="AG96" s="51"/>
      <c r="AH96" s="52"/>
      <c r="AI96" s="52"/>
      <c r="AJ96" s="53"/>
      <c r="AK96" s="52"/>
      <c r="AL96" s="43">
        <v>18</v>
      </c>
      <c r="AM96" s="168" t="s">
        <v>938</v>
      </c>
      <c r="AN96" s="36"/>
      <c r="AO96" s="36"/>
      <c r="AP96" s="37"/>
    </row>
    <row r="97" spans="1:42" s="38" customFormat="1" ht="18.75" customHeight="1" x14ac:dyDescent="0.25">
      <c r="A97" s="44">
        <v>46178</v>
      </c>
      <c r="B97" s="40">
        <f t="shared" si="2"/>
        <v>46178</v>
      </c>
      <c r="C97" s="41" t="s">
        <v>85</v>
      </c>
      <c r="D97" s="45" t="s">
        <v>86</v>
      </c>
      <c r="E97" s="45">
        <v>31498</v>
      </c>
      <c r="F97" s="45">
        <v>1</v>
      </c>
      <c r="G97" s="191">
        <v>20433693</v>
      </c>
      <c r="H97" s="54" t="s">
        <v>173</v>
      </c>
      <c r="I97" s="42"/>
      <c r="J97" s="43"/>
      <c r="K97" s="43">
        <f t="shared" si="3"/>
        <v>35</v>
      </c>
      <c r="L97" s="43"/>
      <c r="M97" s="43"/>
      <c r="N97" s="43"/>
      <c r="O97" s="43"/>
      <c r="P97" s="46">
        <v>35</v>
      </c>
      <c r="Q97" s="47"/>
      <c r="R97" s="40"/>
      <c r="S97" s="42"/>
      <c r="T97" s="41"/>
      <c r="U97" s="41"/>
      <c r="V97" s="48" t="s">
        <v>453</v>
      </c>
      <c r="W97" s="43"/>
      <c r="X97" s="44">
        <v>46178</v>
      </c>
      <c r="Y97" s="41" t="s">
        <v>454</v>
      </c>
      <c r="Z97" s="41"/>
      <c r="AA97" s="41"/>
      <c r="AB97" s="41" t="s">
        <v>937</v>
      </c>
      <c r="AC97" s="49"/>
      <c r="AD97" s="49">
        <v>1212</v>
      </c>
      <c r="AE97" s="50"/>
      <c r="AF97" s="51"/>
      <c r="AG97" s="51"/>
      <c r="AH97" s="52"/>
      <c r="AI97" s="52"/>
      <c r="AJ97" s="53"/>
      <c r="AK97" s="52"/>
      <c r="AL97" s="43">
        <v>18</v>
      </c>
      <c r="AM97" s="168" t="s">
        <v>938</v>
      </c>
      <c r="AN97" s="36"/>
      <c r="AO97" s="36"/>
      <c r="AP97" s="37"/>
    </row>
    <row r="98" spans="1:42" s="38" customFormat="1" ht="18.75" customHeight="1" x14ac:dyDescent="0.25">
      <c r="A98" s="44">
        <v>46178</v>
      </c>
      <c r="B98" s="40">
        <f t="shared" si="2"/>
        <v>46178</v>
      </c>
      <c r="C98" s="41" t="s">
        <v>85</v>
      </c>
      <c r="D98" s="45" t="s">
        <v>86</v>
      </c>
      <c r="E98" s="45">
        <v>31499</v>
      </c>
      <c r="F98" s="45">
        <v>1</v>
      </c>
      <c r="G98" s="191">
        <v>20434605</v>
      </c>
      <c r="H98" s="54" t="s">
        <v>174</v>
      </c>
      <c r="I98" s="42"/>
      <c r="J98" s="43"/>
      <c r="K98" s="43">
        <f t="shared" si="3"/>
        <v>30</v>
      </c>
      <c r="L98" s="43"/>
      <c r="M98" s="43"/>
      <c r="N98" s="43"/>
      <c r="O98" s="43"/>
      <c r="P98" s="46">
        <v>30</v>
      </c>
      <c r="Q98" s="47"/>
      <c r="R98" s="40"/>
      <c r="S98" s="42"/>
      <c r="T98" s="41"/>
      <c r="U98" s="41"/>
      <c r="V98" s="48" t="s">
        <v>453</v>
      </c>
      <c r="W98" s="43"/>
      <c r="X98" s="44">
        <v>46178</v>
      </c>
      <c r="Y98" s="41" t="s">
        <v>454</v>
      </c>
      <c r="Z98" s="41"/>
      <c r="AA98" s="41"/>
      <c r="AB98" s="41" t="s">
        <v>937</v>
      </c>
      <c r="AC98" s="49"/>
      <c r="AD98" s="49">
        <v>1212</v>
      </c>
      <c r="AE98" s="50"/>
      <c r="AF98" s="51"/>
      <c r="AG98" s="51"/>
      <c r="AH98" s="52"/>
      <c r="AI98" s="52"/>
      <c r="AJ98" s="53"/>
      <c r="AK98" s="52"/>
      <c r="AL98" s="43">
        <v>18</v>
      </c>
      <c r="AM98" s="168" t="s">
        <v>938</v>
      </c>
      <c r="AN98" s="36"/>
      <c r="AO98" s="36"/>
      <c r="AP98" s="37"/>
    </row>
    <row r="99" spans="1:42" s="38" customFormat="1" ht="18.75" customHeight="1" x14ac:dyDescent="0.25">
      <c r="A99" s="44">
        <v>46178</v>
      </c>
      <c r="B99" s="40">
        <f t="shared" si="2"/>
        <v>46178</v>
      </c>
      <c r="C99" s="41" t="s">
        <v>85</v>
      </c>
      <c r="D99" s="45" t="s">
        <v>86</v>
      </c>
      <c r="E99" s="45">
        <v>31500</v>
      </c>
      <c r="F99" s="45">
        <v>1</v>
      </c>
      <c r="G99" s="191">
        <v>76692458</v>
      </c>
      <c r="H99" s="54" t="s">
        <v>175</v>
      </c>
      <c r="I99" s="42"/>
      <c r="J99" s="43"/>
      <c r="K99" s="43">
        <f t="shared" si="3"/>
        <v>10</v>
      </c>
      <c r="L99" s="43"/>
      <c r="M99" s="43"/>
      <c r="N99" s="43"/>
      <c r="O99" s="43"/>
      <c r="P99" s="46">
        <v>10</v>
      </c>
      <c r="Q99" s="47"/>
      <c r="R99" s="40"/>
      <c r="S99" s="42"/>
      <c r="T99" s="41"/>
      <c r="U99" s="41"/>
      <c r="V99" s="48" t="s">
        <v>453</v>
      </c>
      <c r="W99" s="43"/>
      <c r="X99" s="44">
        <v>46178</v>
      </c>
      <c r="Y99" s="41" t="s">
        <v>454</v>
      </c>
      <c r="Z99" s="41"/>
      <c r="AA99" s="41"/>
      <c r="AB99" s="41" t="s">
        <v>937</v>
      </c>
      <c r="AC99" s="49"/>
      <c r="AD99" s="49">
        <v>1212</v>
      </c>
      <c r="AE99" s="50"/>
      <c r="AF99" s="51"/>
      <c r="AG99" s="51"/>
      <c r="AH99" s="52"/>
      <c r="AI99" s="52"/>
      <c r="AJ99" s="53"/>
      <c r="AK99" s="52"/>
      <c r="AL99" s="43">
        <v>18</v>
      </c>
      <c r="AM99" s="168" t="s">
        <v>938</v>
      </c>
      <c r="AN99" s="36"/>
      <c r="AO99" s="36"/>
      <c r="AP99" s="37"/>
    </row>
    <row r="100" spans="1:42" s="38" customFormat="1" ht="18.75" customHeight="1" x14ac:dyDescent="0.25">
      <c r="A100" s="44">
        <v>46178</v>
      </c>
      <c r="B100" s="40">
        <f t="shared" si="2"/>
        <v>46178</v>
      </c>
      <c r="C100" s="41" t="s">
        <v>85</v>
      </c>
      <c r="D100" s="45" t="s">
        <v>86</v>
      </c>
      <c r="E100" s="45">
        <v>31501</v>
      </c>
      <c r="F100" s="45">
        <v>1</v>
      </c>
      <c r="G100" s="191">
        <v>19871043</v>
      </c>
      <c r="H100" s="54" t="s">
        <v>176</v>
      </c>
      <c r="I100" s="42"/>
      <c r="J100" s="43"/>
      <c r="K100" s="43">
        <f t="shared" si="3"/>
        <v>89.5</v>
      </c>
      <c r="L100" s="43"/>
      <c r="M100" s="43"/>
      <c r="N100" s="43"/>
      <c r="O100" s="43"/>
      <c r="P100" s="46">
        <v>89.5</v>
      </c>
      <c r="Q100" s="47"/>
      <c r="R100" s="40"/>
      <c r="S100" s="42"/>
      <c r="T100" s="41"/>
      <c r="U100" s="41"/>
      <c r="V100" s="48" t="s">
        <v>453</v>
      </c>
      <c r="W100" s="43"/>
      <c r="X100" s="44">
        <v>46178</v>
      </c>
      <c r="Y100" s="41" t="s">
        <v>454</v>
      </c>
      <c r="Z100" s="41"/>
      <c r="AA100" s="41"/>
      <c r="AB100" s="41" t="s">
        <v>937</v>
      </c>
      <c r="AC100" s="49"/>
      <c r="AD100" s="49">
        <v>1212</v>
      </c>
      <c r="AE100" s="50"/>
      <c r="AF100" s="51"/>
      <c r="AG100" s="51"/>
      <c r="AH100" s="52"/>
      <c r="AI100" s="52"/>
      <c r="AJ100" s="53"/>
      <c r="AK100" s="52"/>
      <c r="AL100" s="43">
        <v>18</v>
      </c>
      <c r="AM100" s="168" t="s">
        <v>938</v>
      </c>
      <c r="AN100" s="36"/>
      <c r="AO100" s="36"/>
      <c r="AP100" s="37"/>
    </row>
    <row r="101" spans="1:42" s="190" customFormat="1" ht="18.75" customHeight="1" x14ac:dyDescent="0.25">
      <c r="A101" s="172">
        <v>46178</v>
      </c>
      <c r="B101" s="173">
        <f t="shared" si="2"/>
        <v>46178</v>
      </c>
      <c r="C101" s="174" t="s">
        <v>85</v>
      </c>
      <c r="D101" s="175" t="s">
        <v>86</v>
      </c>
      <c r="E101" s="175">
        <v>31487</v>
      </c>
      <c r="F101" s="175">
        <v>1</v>
      </c>
      <c r="G101" s="192" t="s">
        <v>927</v>
      </c>
      <c r="H101" s="176" t="s">
        <v>177</v>
      </c>
      <c r="I101" s="177"/>
      <c r="J101" s="178"/>
      <c r="K101" s="178">
        <f t="shared" si="3"/>
        <v>25</v>
      </c>
      <c r="L101" s="178"/>
      <c r="M101" s="178"/>
      <c r="N101" s="178"/>
      <c r="O101" s="178"/>
      <c r="P101" s="179">
        <v>25</v>
      </c>
      <c r="Q101" s="180"/>
      <c r="R101" s="173"/>
      <c r="S101" s="177"/>
      <c r="T101" s="174"/>
      <c r="U101" s="174"/>
      <c r="V101" s="181" t="s">
        <v>453</v>
      </c>
      <c r="W101" s="178"/>
      <c r="X101" s="172">
        <v>46178</v>
      </c>
      <c r="Y101" s="174" t="s">
        <v>454</v>
      </c>
      <c r="Z101" s="174"/>
      <c r="AA101" s="174"/>
      <c r="AB101" s="174" t="s">
        <v>937</v>
      </c>
      <c r="AC101" s="182"/>
      <c r="AD101" s="182">
        <v>1212</v>
      </c>
      <c r="AE101" s="183"/>
      <c r="AF101" s="184"/>
      <c r="AG101" s="184"/>
      <c r="AH101" s="185"/>
      <c r="AI101" s="185"/>
      <c r="AJ101" s="186"/>
      <c r="AK101" s="185"/>
      <c r="AL101" s="178">
        <v>18</v>
      </c>
      <c r="AM101" s="187" t="s">
        <v>938</v>
      </c>
      <c r="AN101" s="188"/>
      <c r="AO101" s="188"/>
      <c r="AP101" s="189"/>
    </row>
    <row r="102" spans="1:42" s="38" customFormat="1" ht="18.75" customHeight="1" x14ac:dyDescent="0.25">
      <c r="A102" s="44">
        <v>46179</v>
      </c>
      <c r="B102" s="40">
        <f t="shared" si="2"/>
        <v>46179</v>
      </c>
      <c r="C102" s="41" t="s">
        <v>85</v>
      </c>
      <c r="D102" s="45" t="s">
        <v>86</v>
      </c>
      <c r="E102" s="45">
        <v>31502</v>
      </c>
      <c r="F102" s="45">
        <v>1</v>
      </c>
      <c r="G102" s="191">
        <v>60228991</v>
      </c>
      <c r="H102" s="54" t="s">
        <v>178</v>
      </c>
      <c r="I102" s="42"/>
      <c r="J102" s="43"/>
      <c r="K102" s="43">
        <f t="shared" si="3"/>
        <v>5.5</v>
      </c>
      <c r="L102" s="43"/>
      <c r="M102" s="43"/>
      <c r="N102" s="43"/>
      <c r="O102" s="43"/>
      <c r="P102" s="46">
        <v>5.5</v>
      </c>
      <c r="Q102" s="47"/>
      <c r="R102" s="40"/>
      <c r="S102" s="42"/>
      <c r="T102" s="41"/>
      <c r="U102" s="41"/>
      <c r="V102" s="48" t="s">
        <v>453</v>
      </c>
      <c r="W102" s="43"/>
      <c r="X102" s="44">
        <v>46179</v>
      </c>
      <c r="Y102" s="41" t="s">
        <v>454</v>
      </c>
      <c r="Z102" s="41"/>
      <c r="AA102" s="41"/>
      <c r="AB102" s="41" t="s">
        <v>937</v>
      </c>
      <c r="AC102" s="49"/>
      <c r="AD102" s="49">
        <v>1212</v>
      </c>
      <c r="AE102" s="50"/>
      <c r="AF102" s="51"/>
      <c r="AG102" s="51"/>
      <c r="AH102" s="52"/>
      <c r="AI102" s="52"/>
      <c r="AJ102" s="53"/>
      <c r="AK102" s="52"/>
      <c r="AL102" s="43">
        <v>18</v>
      </c>
      <c r="AM102" s="168" t="s">
        <v>938</v>
      </c>
      <c r="AN102" s="36"/>
      <c r="AO102" s="36"/>
      <c r="AP102" s="37"/>
    </row>
    <row r="103" spans="1:42" s="38" customFormat="1" ht="18.75" customHeight="1" x14ac:dyDescent="0.25">
      <c r="A103" s="44">
        <v>46179</v>
      </c>
      <c r="B103" s="40">
        <f t="shared" si="2"/>
        <v>46179</v>
      </c>
      <c r="C103" s="41" t="s">
        <v>85</v>
      </c>
      <c r="D103" s="45" t="s">
        <v>86</v>
      </c>
      <c r="E103" s="45">
        <v>31503</v>
      </c>
      <c r="F103" s="45">
        <v>1</v>
      </c>
      <c r="G103" s="191">
        <v>60228991</v>
      </c>
      <c r="H103" s="54" t="s">
        <v>178</v>
      </c>
      <c r="I103" s="42"/>
      <c r="J103" s="43"/>
      <c r="K103" s="43">
        <f t="shared" si="3"/>
        <v>0.5</v>
      </c>
      <c r="L103" s="43"/>
      <c r="M103" s="43"/>
      <c r="N103" s="43"/>
      <c r="O103" s="43"/>
      <c r="P103" s="46">
        <v>0.5</v>
      </c>
      <c r="Q103" s="47"/>
      <c r="R103" s="40"/>
      <c r="S103" s="42"/>
      <c r="T103" s="41"/>
      <c r="U103" s="41"/>
      <c r="V103" s="48" t="s">
        <v>453</v>
      </c>
      <c r="W103" s="43"/>
      <c r="X103" s="44">
        <v>46179</v>
      </c>
      <c r="Y103" s="41" t="s">
        <v>454</v>
      </c>
      <c r="Z103" s="41"/>
      <c r="AA103" s="41"/>
      <c r="AB103" s="41" t="s">
        <v>937</v>
      </c>
      <c r="AC103" s="49"/>
      <c r="AD103" s="49">
        <v>1212</v>
      </c>
      <c r="AE103" s="50"/>
      <c r="AF103" s="51"/>
      <c r="AG103" s="51"/>
      <c r="AH103" s="52"/>
      <c r="AI103" s="52"/>
      <c r="AJ103" s="53"/>
      <c r="AK103" s="52"/>
      <c r="AL103" s="43">
        <v>18</v>
      </c>
      <c r="AM103" s="168" t="s">
        <v>938</v>
      </c>
      <c r="AN103" s="36"/>
      <c r="AO103" s="36"/>
      <c r="AP103" s="37"/>
    </row>
    <row r="104" spans="1:42" s="38" customFormat="1" ht="18.75" customHeight="1" x14ac:dyDescent="0.25">
      <c r="A104" s="44">
        <v>46179</v>
      </c>
      <c r="B104" s="40">
        <f t="shared" si="2"/>
        <v>46179</v>
      </c>
      <c r="C104" s="41" t="s">
        <v>85</v>
      </c>
      <c r="D104" s="45" t="s">
        <v>86</v>
      </c>
      <c r="E104" s="45">
        <v>31504</v>
      </c>
      <c r="F104" s="45">
        <v>6</v>
      </c>
      <c r="G104" s="191">
        <v>20612437298</v>
      </c>
      <c r="H104" s="54" t="s">
        <v>179</v>
      </c>
      <c r="I104" s="42"/>
      <c r="J104" s="43"/>
      <c r="K104" s="43">
        <f t="shared" si="3"/>
        <v>5.7</v>
      </c>
      <c r="L104" s="43"/>
      <c r="M104" s="43"/>
      <c r="N104" s="43"/>
      <c r="O104" s="43"/>
      <c r="P104" s="46">
        <v>5.7</v>
      </c>
      <c r="Q104" s="47"/>
      <c r="R104" s="40"/>
      <c r="S104" s="42"/>
      <c r="T104" s="41"/>
      <c r="U104" s="41"/>
      <c r="V104" s="48" t="s">
        <v>453</v>
      </c>
      <c r="W104" s="43"/>
      <c r="X104" s="44">
        <v>46179</v>
      </c>
      <c r="Y104" s="41" t="s">
        <v>454</v>
      </c>
      <c r="Z104" s="41"/>
      <c r="AA104" s="41"/>
      <c r="AB104" s="41" t="s">
        <v>937</v>
      </c>
      <c r="AC104" s="49"/>
      <c r="AD104" s="49">
        <v>1212</v>
      </c>
      <c r="AE104" s="50"/>
      <c r="AF104" s="51"/>
      <c r="AG104" s="51"/>
      <c r="AH104" s="52"/>
      <c r="AI104" s="52"/>
      <c r="AJ104" s="53"/>
      <c r="AK104" s="52"/>
      <c r="AL104" s="43">
        <v>18</v>
      </c>
      <c r="AM104" s="168" t="s">
        <v>938</v>
      </c>
      <c r="AN104" s="36"/>
      <c r="AO104" s="36"/>
      <c r="AP104" s="37"/>
    </row>
    <row r="105" spans="1:42" s="38" customFormat="1" ht="18.75" customHeight="1" x14ac:dyDescent="0.25">
      <c r="A105" s="44">
        <v>46179</v>
      </c>
      <c r="B105" s="40">
        <f t="shared" si="2"/>
        <v>46179</v>
      </c>
      <c r="C105" s="41" t="s">
        <v>85</v>
      </c>
      <c r="D105" s="45" t="s">
        <v>86</v>
      </c>
      <c r="E105" s="45">
        <v>31505</v>
      </c>
      <c r="F105" s="45">
        <v>1</v>
      </c>
      <c r="G105" s="191">
        <v>20044082</v>
      </c>
      <c r="H105" s="54" t="s">
        <v>180</v>
      </c>
      <c r="I105" s="42"/>
      <c r="J105" s="43"/>
      <c r="K105" s="43">
        <f t="shared" si="3"/>
        <v>13.5</v>
      </c>
      <c r="L105" s="43"/>
      <c r="M105" s="43"/>
      <c r="N105" s="43"/>
      <c r="O105" s="43"/>
      <c r="P105" s="46">
        <v>13.5</v>
      </c>
      <c r="Q105" s="47"/>
      <c r="R105" s="40"/>
      <c r="S105" s="42"/>
      <c r="T105" s="41"/>
      <c r="U105" s="41"/>
      <c r="V105" s="48" t="s">
        <v>453</v>
      </c>
      <c r="W105" s="43"/>
      <c r="X105" s="44">
        <v>46179</v>
      </c>
      <c r="Y105" s="41" t="s">
        <v>454</v>
      </c>
      <c r="Z105" s="41"/>
      <c r="AA105" s="41"/>
      <c r="AB105" s="41" t="s">
        <v>937</v>
      </c>
      <c r="AC105" s="49"/>
      <c r="AD105" s="49">
        <v>1212</v>
      </c>
      <c r="AE105" s="50"/>
      <c r="AF105" s="51"/>
      <c r="AG105" s="51"/>
      <c r="AH105" s="52"/>
      <c r="AI105" s="52"/>
      <c r="AJ105" s="53"/>
      <c r="AK105" s="52"/>
      <c r="AL105" s="43">
        <v>18</v>
      </c>
      <c r="AM105" s="168" t="s">
        <v>938</v>
      </c>
      <c r="AN105" s="36"/>
      <c r="AO105" s="36"/>
      <c r="AP105" s="37"/>
    </row>
    <row r="106" spans="1:42" s="38" customFormat="1" ht="18.75" customHeight="1" x14ac:dyDescent="0.25">
      <c r="A106" s="44">
        <v>46179</v>
      </c>
      <c r="B106" s="40">
        <f t="shared" si="2"/>
        <v>46179</v>
      </c>
      <c r="C106" s="41" t="s">
        <v>85</v>
      </c>
      <c r="D106" s="45" t="s">
        <v>86</v>
      </c>
      <c r="E106" s="45">
        <v>31506</v>
      </c>
      <c r="F106" s="45">
        <v>1</v>
      </c>
      <c r="G106" s="191">
        <v>20011255</v>
      </c>
      <c r="H106" s="54" t="s">
        <v>181</v>
      </c>
      <c r="I106" s="42"/>
      <c r="J106" s="43"/>
      <c r="K106" s="43">
        <f t="shared" si="3"/>
        <v>10</v>
      </c>
      <c r="L106" s="43"/>
      <c r="M106" s="43"/>
      <c r="N106" s="43"/>
      <c r="O106" s="43"/>
      <c r="P106" s="46">
        <v>10</v>
      </c>
      <c r="Q106" s="47"/>
      <c r="R106" s="40"/>
      <c r="S106" s="42"/>
      <c r="T106" s="41"/>
      <c r="U106" s="41"/>
      <c r="V106" s="48" t="s">
        <v>453</v>
      </c>
      <c r="W106" s="43"/>
      <c r="X106" s="44">
        <v>46179</v>
      </c>
      <c r="Y106" s="41" t="s">
        <v>454</v>
      </c>
      <c r="Z106" s="41"/>
      <c r="AA106" s="41"/>
      <c r="AB106" s="41" t="s">
        <v>937</v>
      </c>
      <c r="AC106" s="49"/>
      <c r="AD106" s="49">
        <v>1212</v>
      </c>
      <c r="AE106" s="50"/>
      <c r="AF106" s="51"/>
      <c r="AG106" s="51"/>
      <c r="AH106" s="52"/>
      <c r="AI106" s="52"/>
      <c r="AJ106" s="53"/>
      <c r="AK106" s="52"/>
      <c r="AL106" s="43">
        <v>18</v>
      </c>
      <c r="AM106" s="168" t="s">
        <v>938</v>
      </c>
      <c r="AN106" s="36"/>
      <c r="AO106" s="36"/>
      <c r="AP106" s="37"/>
    </row>
    <row r="107" spans="1:42" s="38" customFormat="1" ht="18.75" customHeight="1" x14ac:dyDescent="0.25">
      <c r="A107" s="44">
        <v>46179</v>
      </c>
      <c r="B107" s="40">
        <f t="shared" si="2"/>
        <v>46179</v>
      </c>
      <c r="C107" s="41" t="s">
        <v>85</v>
      </c>
      <c r="D107" s="45" t="s">
        <v>86</v>
      </c>
      <c r="E107" s="45">
        <v>31507</v>
      </c>
      <c r="F107" s="45">
        <v>1</v>
      </c>
      <c r="G107" s="191">
        <v>20081315</v>
      </c>
      <c r="H107" s="54" t="s">
        <v>182</v>
      </c>
      <c r="I107" s="42"/>
      <c r="J107" s="43"/>
      <c r="K107" s="43">
        <f t="shared" si="3"/>
        <v>42.5</v>
      </c>
      <c r="L107" s="43"/>
      <c r="M107" s="43"/>
      <c r="N107" s="43"/>
      <c r="O107" s="43"/>
      <c r="P107" s="46">
        <v>42.5</v>
      </c>
      <c r="Q107" s="47"/>
      <c r="R107" s="40"/>
      <c r="S107" s="42"/>
      <c r="T107" s="41"/>
      <c r="U107" s="41"/>
      <c r="V107" s="48" t="s">
        <v>453</v>
      </c>
      <c r="W107" s="43"/>
      <c r="X107" s="44">
        <v>46179</v>
      </c>
      <c r="Y107" s="41" t="s">
        <v>454</v>
      </c>
      <c r="Z107" s="41"/>
      <c r="AA107" s="41"/>
      <c r="AB107" s="41" t="s">
        <v>937</v>
      </c>
      <c r="AC107" s="49"/>
      <c r="AD107" s="49">
        <v>1212</v>
      </c>
      <c r="AE107" s="50"/>
      <c r="AF107" s="51"/>
      <c r="AG107" s="51"/>
      <c r="AH107" s="52"/>
      <c r="AI107" s="52"/>
      <c r="AJ107" s="53"/>
      <c r="AK107" s="52"/>
      <c r="AL107" s="43">
        <v>18</v>
      </c>
      <c r="AM107" s="168" t="s">
        <v>938</v>
      </c>
      <c r="AN107" s="36"/>
      <c r="AO107" s="36"/>
      <c r="AP107" s="37"/>
    </row>
    <row r="108" spans="1:42" s="38" customFormat="1" ht="18.75" customHeight="1" x14ac:dyDescent="0.25">
      <c r="A108" s="44">
        <v>46179</v>
      </c>
      <c r="B108" s="40">
        <f t="shared" si="2"/>
        <v>46179</v>
      </c>
      <c r="C108" s="41" t="s">
        <v>85</v>
      </c>
      <c r="D108" s="45" t="s">
        <v>86</v>
      </c>
      <c r="E108" s="45">
        <v>31508</v>
      </c>
      <c r="F108" s="45">
        <v>1</v>
      </c>
      <c r="G108" s="191">
        <v>45801199</v>
      </c>
      <c r="H108" s="54" t="s">
        <v>183</v>
      </c>
      <c r="I108" s="42"/>
      <c r="J108" s="43"/>
      <c r="K108" s="43">
        <f t="shared" si="3"/>
        <v>20</v>
      </c>
      <c r="L108" s="43"/>
      <c r="M108" s="43"/>
      <c r="N108" s="43"/>
      <c r="O108" s="43"/>
      <c r="P108" s="46">
        <v>20</v>
      </c>
      <c r="Q108" s="47"/>
      <c r="R108" s="40"/>
      <c r="S108" s="42"/>
      <c r="T108" s="41"/>
      <c r="U108" s="41"/>
      <c r="V108" s="48" t="s">
        <v>453</v>
      </c>
      <c r="W108" s="43"/>
      <c r="X108" s="44">
        <v>46179</v>
      </c>
      <c r="Y108" s="41" t="s">
        <v>454</v>
      </c>
      <c r="Z108" s="41"/>
      <c r="AA108" s="41"/>
      <c r="AB108" s="41" t="s">
        <v>937</v>
      </c>
      <c r="AC108" s="49"/>
      <c r="AD108" s="49">
        <v>1212</v>
      </c>
      <c r="AE108" s="50"/>
      <c r="AF108" s="51"/>
      <c r="AG108" s="51"/>
      <c r="AH108" s="52"/>
      <c r="AI108" s="52"/>
      <c r="AJ108" s="53"/>
      <c r="AK108" s="52"/>
      <c r="AL108" s="43">
        <v>18</v>
      </c>
      <c r="AM108" s="168" t="s">
        <v>938</v>
      </c>
      <c r="AN108" s="36"/>
      <c r="AO108" s="36"/>
      <c r="AP108" s="37"/>
    </row>
    <row r="109" spans="1:42" s="38" customFormat="1" ht="18.75" customHeight="1" x14ac:dyDescent="0.25">
      <c r="A109" s="44">
        <v>46179</v>
      </c>
      <c r="B109" s="40">
        <f t="shared" si="2"/>
        <v>46179</v>
      </c>
      <c r="C109" s="41" t="s">
        <v>85</v>
      </c>
      <c r="D109" s="45" t="s">
        <v>86</v>
      </c>
      <c r="E109" s="45">
        <v>31509</v>
      </c>
      <c r="F109" s="45">
        <v>1</v>
      </c>
      <c r="G109" s="191">
        <v>45609801</v>
      </c>
      <c r="H109" s="54" t="s">
        <v>184</v>
      </c>
      <c r="I109" s="42"/>
      <c r="J109" s="43"/>
      <c r="K109" s="43">
        <f t="shared" si="3"/>
        <v>10</v>
      </c>
      <c r="L109" s="43"/>
      <c r="M109" s="43"/>
      <c r="N109" s="43"/>
      <c r="O109" s="43"/>
      <c r="P109" s="46">
        <v>10</v>
      </c>
      <c r="Q109" s="47"/>
      <c r="R109" s="40"/>
      <c r="S109" s="42"/>
      <c r="T109" s="41"/>
      <c r="U109" s="41"/>
      <c r="V109" s="48" t="s">
        <v>453</v>
      </c>
      <c r="W109" s="43"/>
      <c r="X109" s="44">
        <v>46179</v>
      </c>
      <c r="Y109" s="41" t="s">
        <v>454</v>
      </c>
      <c r="Z109" s="41"/>
      <c r="AA109" s="41"/>
      <c r="AB109" s="41" t="s">
        <v>937</v>
      </c>
      <c r="AC109" s="49"/>
      <c r="AD109" s="49">
        <v>1212</v>
      </c>
      <c r="AE109" s="50"/>
      <c r="AF109" s="51"/>
      <c r="AG109" s="51"/>
      <c r="AH109" s="52"/>
      <c r="AI109" s="52"/>
      <c r="AJ109" s="53"/>
      <c r="AK109" s="52"/>
      <c r="AL109" s="43">
        <v>18</v>
      </c>
      <c r="AM109" s="168" t="s">
        <v>938</v>
      </c>
      <c r="AN109" s="36"/>
      <c r="AO109" s="36"/>
      <c r="AP109" s="37"/>
    </row>
    <row r="110" spans="1:42" s="38" customFormat="1" ht="18.75" customHeight="1" x14ac:dyDescent="0.25">
      <c r="A110" s="44">
        <v>46179</v>
      </c>
      <c r="B110" s="40">
        <f t="shared" si="2"/>
        <v>46179</v>
      </c>
      <c r="C110" s="41" t="s">
        <v>85</v>
      </c>
      <c r="D110" s="45" t="s">
        <v>86</v>
      </c>
      <c r="E110" s="45">
        <v>31510</v>
      </c>
      <c r="F110" s="45">
        <v>1</v>
      </c>
      <c r="G110" s="191">
        <v>20433381</v>
      </c>
      <c r="H110" s="54" t="s">
        <v>185</v>
      </c>
      <c r="I110" s="42"/>
      <c r="J110" s="43"/>
      <c r="K110" s="43">
        <f t="shared" si="3"/>
        <v>25</v>
      </c>
      <c r="L110" s="43"/>
      <c r="M110" s="43"/>
      <c r="N110" s="43"/>
      <c r="O110" s="43"/>
      <c r="P110" s="46">
        <v>25</v>
      </c>
      <c r="Q110" s="47"/>
      <c r="R110" s="40"/>
      <c r="S110" s="42"/>
      <c r="T110" s="41"/>
      <c r="U110" s="41"/>
      <c r="V110" s="48" t="s">
        <v>453</v>
      </c>
      <c r="W110" s="43"/>
      <c r="X110" s="44">
        <v>46179</v>
      </c>
      <c r="Y110" s="41" t="s">
        <v>454</v>
      </c>
      <c r="Z110" s="41"/>
      <c r="AA110" s="41"/>
      <c r="AB110" s="41" t="s">
        <v>937</v>
      </c>
      <c r="AC110" s="49"/>
      <c r="AD110" s="49">
        <v>1212</v>
      </c>
      <c r="AE110" s="50"/>
      <c r="AF110" s="51"/>
      <c r="AG110" s="51"/>
      <c r="AH110" s="52"/>
      <c r="AI110" s="52"/>
      <c r="AJ110" s="53"/>
      <c r="AK110" s="52"/>
      <c r="AL110" s="43">
        <v>18</v>
      </c>
      <c r="AM110" s="168" t="s">
        <v>938</v>
      </c>
      <c r="AN110" s="36"/>
      <c r="AO110" s="36"/>
      <c r="AP110" s="37"/>
    </row>
    <row r="111" spans="1:42" s="38" customFormat="1" ht="18.75" customHeight="1" x14ac:dyDescent="0.25">
      <c r="A111" s="44">
        <v>46179</v>
      </c>
      <c r="B111" s="40">
        <f t="shared" si="2"/>
        <v>46179</v>
      </c>
      <c r="C111" s="41" t="s">
        <v>85</v>
      </c>
      <c r="D111" s="45" t="s">
        <v>86</v>
      </c>
      <c r="E111" s="45">
        <v>31511</v>
      </c>
      <c r="F111" s="45">
        <v>1</v>
      </c>
      <c r="G111" s="191">
        <v>76613260</v>
      </c>
      <c r="H111" s="54" t="s">
        <v>186</v>
      </c>
      <c r="I111" s="42"/>
      <c r="J111" s="43"/>
      <c r="K111" s="43">
        <f t="shared" si="3"/>
        <v>9</v>
      </c>
      <c r="L111" s="43"/>
      <c r="M111" s="43"/>
      <c r="N111" s="43"/>
      <c r="O111" s="43"/>
      <c r="P111" s="46">
        <v>9</v>
      </c>
      <c r="Q111" s="47"/>
      <c r="R111" s="40"/>
      <c r="S111" s="42"/>
      <c r="T111" s="41"/>
      <c r="U111" s="41"/>
      <c r="V111" s="48" t="s">
        <v>453</v>
      </c>
      <c r="W111" s="43"/>
      <c r="X111" s="44">
        <v>46179</v>
      </c>
      <c r="Y111" s="41" t="s">
        <v>454</v>
      </c>
      <c r="Z111" s="41"/>
      <c r="AA111" s="41"/>
      <c r="AB111" s="41" t="s">
        <v>937</v>
      </c>
      <c r="AC111" s="49"/>
      <c r="AD111" s="49">
        <v>1212</v>
      </c>
      <c r="AE111" s="50"/>
      <c r="AF111" s="51"/>
      <c r="AG111" s="51"/>
      <c r="AH111" s="52"/>
      <c r="AI111" s="52"/>
      <c r="AJ111" s="53"/>
      <c r="AK111" s="52"/>
      <c r="AL111" s="43">
        <v>18</v>
      </c>
      <c r="AM111" s="168" t="s">
        <v>938</v>
      </c>
      <c r="AN111" s="36"/>
      <c r="AO111" s="36"/>
      <c r="AP111" s="37"/>
    </row>
    <row r="112" spans="1:42" s="38" customFormat="1" ht="18.75" customHeight="1" x14ac:dyDescent="0.25">
      <c r="A112" s="44">
        <v>46179</v>
      </c>
      <c r="B112" s="40">
        <f t="shared" si="2"/>
        <v>46179</v>
      </c>
      <c r="C112" s="41" t="s">
        <v>85</v>
      </c>
      <c r="D112" s="45" t="s">
        <v>86</v>
      </c>
      <c r="E112" s="45">
        <v>31512</v>
      </c>
      <c r="F112" s="45">
        <v>1</v>
      </c>
      <c r="G112" s="191">
        <v>48219929</v>
      </c>
      <c r="H112" s="54" t="s">
        <v>187</v>
      </c>
      <c r="I112" s="42"/>
      <c r="J112" s="43"/>
      <c r="K112" s="43">
        <f t="shared" si="3"/>
        <v>13</v>
      </c>
      <c r="L112" s="43"/>
      <c r="M112" s="43"/>
      <c r="N112" s="43"/>
      <c r="O112" s="43"/>
      <c r="P112" s="46">
        <v>13</v>
      </c>
      <c r="Q112" s="47"/>
      <c r="R112" s="40"/>
      <c r="S112" s="42"/>
      <c r="T112" s="41"/>
      <c r="U112" s="41"/>
      <c r="V112" s="48" t="s">
        <v>453</v>
      </c>
      <c r="W112" s="43"/>
      <c r="X112" s="44">
        <v>46179</v>
      </c>
      <c r="Y112" s="41" t="s">
        <v>454</v>
      </c>
      <c r="Z112" s="41"/>
      <c r="AA112" s="41"/>
      <c r="AB112" s="41" t="s">
        <v>937</v>
      </c>
      <c r="AC112" s="49"/>
      <c r="AD112" s="49">
        <v>1212</v>
      </c>
      <c r="AE112" s="50"/>
      <c r="AF112" s="51"/>
      <c r="AG112" s="51"/>
      <c r="AH112" s="52"/>
      <c r="AI112" s="52"/>
      <c r="AJ112" s="53"/>
      <c r="AK112" s="52"/>
      <c r="AL112" s="43">
        <v>18</v>
      </c>
      <c r="AM112" s="168" t="s">
        <v>938</v>
      </c>
      <c r="AN112" s="36"/>
      <c r="AO112" s="36"/>
      <c r="AP112" s="37"/>
    </row>
    <row r="113" spans="1:42" s="38" customFormat="1" ht="18.75" customHeight="1" x14ac:dyDescent="0.25">
      <c r="A113" s="44">
        <v>46179</v>
      </c>
      <c r="B113" s="40">
        <f t="shared" si="2"/>
        <v>46179</v>
      </c>
      <c r="C113" s="41" t="s">
        <v>85</v>
      </c>
      <c r="D113" s="45" t="s">
        <v>86</v>
      </c>
      <c r="E113" s="45">
        <v>31513</v>
      </c>
      <c r="F113" s="45">
        <v>1</v>
      </c>
      <c r="G113" s="191">
        <v>42092664</v>
      </c>
      <c r="H113" s="54" t="s">
        <v>188</v>
      </c>
      <c r="I113" s="42"/>
      <c r="J113" s="43"/>
      <c r="K113" s="43">
        <f t="shared" si="3"/>
        <v>9</v>
      </c>
      <c r="L113" s="43"/>
      <c r="M113" s="43"/>
      <c r="N113" s="43"/>
      <c r="O113" s="43"/>
      <c r="P113" s="46">
        <v>9</v>
      </c>
      <c r="Q113" s="47"/>
      <c r="R113" s="40"/>
      <c r="S113" s="42"/>
      <c r="T113" s="41"/>
      <c r="U113" s="41"/>
      <c r="V113" s="48" t="s">
        <v>453</v>
      </c>
      <c r="W113" s="43"/>
      <c r="X113" s="44">
        <v>46179</v>
      </c>
      <c r="Y113" s="41" t="s">
        <v>454</v>
      </c>
      <c r="Z113" s="41"/>
      <c r="AA113" s="41"/>
      <c r="AB113" s="41" t="s">
        <v>937</v>
      </c>
      <c r="AC113" s="49"/>
      <c r="AD113" s="49">
        <v>1212</v>
      </c>
      <c r="AE113" s="50"/>
      <c r="AF113" s="51"/>
      <c r="AG113" s="51"/>
      <c r="AH113" s="52"/>
      <c r="AI113" s="52"/>
      <c r="AJ113" s="53"/>
      <c r="AK113" s="52"/>
      <c r="AL113" s="43">
        <v>18</v>
      </c>
      <c r="AM113" s="168" t="s">
        <v>938</v>
      </c>
      <c r="AN113" s="36"/>
      <c r="AO113" s="36"/>
      <c r="AP113" s="37"/>
    </row>
    <row r="114" spans="1:42" s="38" customFormat="1" ht="18.75" customHeight="1" x14ac:dyDescent="0.25">
      <c r="A114" s="44">
        <v>46179</v>
      </c>
      <c r="B114" s="40">
        <f t="shared" si="2"/>
        <v>46179</v>
      </c>
      <c r="C114" s="41" t="s">
        <v>85</v>
      </c>
      <c r="D114" s="45" t="s">
        <v>86</v>
      </c>
      <c r="E114" s="45">
        <v>31514</v>
      </c>
      <c r="F114" s="45">
        <v>1</v>
      </c>
      <c r="G114" s="191">
        <v>40161476</v>
      </c>
      <c r="H114" s="54" t="s">
        <v>189</v>
      </c>
      <c r="I114" s="42"/>
      <c r="J114" s="43"/>
      <c r="K114" s="43">
        <f t="shared" si="3"/>
        <v>10.1</v>
      </c>
      <c r="L114" s="43"/>
      <c r="M114" s="43"/>
      <c r="N114" s="43"/>
      <c r="O114" s="43"/>
      <c r="P114" s="46">
        <v>10.1</v>
      </c>
      <c r="Q114" s="47"/>
      <c r="R114" s="40"/>
      <c r="S114" s="42"/>
      <c r="T114" s="41"/>
      <c r="U114" s="41"/>
      <c r="V114" s="48" t="s">
        <v>453</v>
      </c>
      <c r="W114" s="43"/>
      <c r="X114" s="44">
        <v>46179</v>
      </c>
      <c r="Y114" s="41" t="s">
        <v>454</v>
      </c>
      <c r="Z114" s="41"/>
      <c r="AA114" s="41"/>
      <c r="AB114" s="41" t="s">
        <v>937</v>
      </c>
      <c r="AC114" s="49"/>
      <c r="AD114" s="49">
        <v>1212</v>
      </c>
      <c r="AE114" s="50"/>
      <c r="AF114" s="51"/>
      <c r="AG114" s="51"/>
      <c r="AH114" s="52"/>
      <c r="AI114" s="52"/>
      <c r="AJ114" s="53"/>
      <c r="AK114" s="52"/>
      <c r="AL114" s="43">
        <v>18</v>
      </c>
      <c r="AM114" s="168" t="s">
        <v>938</v>
      </c>
      <c r="AN114" s="36"/>
      <c r="AO114" s="36"/>
      <c r="AP114" s="37"/>
    </row>
    <row r="115" spans="1:42" s="38" customFormat="1" ht="18.75" customHeight="1" x14ac:dyDescent="0.25">
      <c r="A115" s="44">
        <v>46179</v>
      </c>
      <c r="B115" s="40">
        <f t="shared" si="2"/>
        <v>46179</v>
      </c>
      <c r="C115" s="41" t="s">
        <v>85</v>
      </c>
      <c r="D115" s="45" t="s">
        <v>86</v>
      </c>
      <c r="E115" s="45">
        <v>31515</v>
      </c>
      <c r="F115" s="45">
        <v>1</v>
      </c>
      <c r="G115" s="191">
        <v>46033554</v>
      </c>
      <c r="H115" s="54" t="s">
        <v>190</v>
      </c>
      <c r="I115" s="42"/>
      <c r="J115" s="43"/>
      <c r="K115" s="43">
        <f t="shared" si="3"/>
        <v>10</v>
      </c>
      <c r="L115" s="43"/>
      <c r="M115" s="43"/>
      <c r="N115" s="43"/>
      <c r="O115" s="43"/>
      <c r="P115" s="46">
        <v>10</v>
      </c>
      <c r="Q115" s="47"/>
      <c r="R115" s="40"/>
      <c r="S115" s="42"/>
      <c r="T115" s="41"/>
      <c r="U115" s="41"/>
      <c r="V115" s="48" t="s">
        <v>453</v>
      </c>
      <c r="W115" s="43"/>
      <c r="X115" s="44">
        <v>46179</v>
      </c>
      <c r="Y115" s="41" t="s">
        <v>454</v>
      </c>
      <c r="Z115" s="41"/>
      <c r="AA115" s="41"/>
      <c r="AB115" s="41" t="s">
        <v>937</v>
      </c>
      <c r="AC115" s="49"/>
      <c r="AD115" s="49">
        <v>1212</v>
      </c>
      <c r="AE115" s="50"/>
      <c r="AF115" s="51"/>
      <c r="AG115" s="51"/>
      <c r="AH115" s="52"/>
      <c r="AI115" s="52"/>
      <c r="AJ115" s="53"/>
      <c r="AK115" s="52"/>
      <c r="AL115" s="43">
        <v>18</v>
      </c>
      <c r="AM115" s="168" t="s">
        <v>938</v>
      </c>
      <c r="AN115" s="36"/>
      <c r="AO115" s="36"/>
      <c r="AP115" s="37"/>
    </row>
    <row r="116" spans="1:42" s="38" customFormat="1" ht="18.75" customHeight="1" x14ac:dyDescent="0.25">
      <c r="A116" s="44">
        <v>46179</v>
      </c>
      <c r="B116" s="40">
        <f t="shared" si="2"/>
        <v>46179</v>
      </c>
      <c r="C116" s="41" t="s">
        <v>85</v>
      </c>
      <c r="D116" s="45" t="s">
        <v>86</v>
      </c>
      <c r="E116" s="45">
        <v>31516</v>
      </c>
      <c r="F116" s="45">
        <v>1</v>
      </c>
      <c r="G116" s="191">
        <v>20434020</v>
      </c>
      <c r="H116" s="54" t="s">
        <v>191</v>
      </c>
      <c r="I116" s="42"/>
      <c r="J116" s="43"/>
      <c r="K116" s="43">
        <f t="shared" si="3"/>
        <v>7</v>
      </c>
      <c r="L116" s="43"/>
      <c r="M116" s="43"/>
      <c r="N116" s="43"/>
      <c r="O116" s="43"/>
      <c r="P116" s="46">
        <v>7</v>
      </c>
      <c r="Q116" s="47"/>
      <c r="R116" s="40"/>
      <c r="S116" s="42"/>
      <c r="T116" s="41"/>
      <c r="U116" s="41"/>
      <c r="V116" s="48" t="s">
        <v>453</v>
      </c>
      <c r="W116" s="43"/>
      <c r="X116" s="44">
        <v>46179</v>
      </c>
      <c r="Y116" s="41" t="s">
        <v>454</v>
      </c>
      <c r="Z116" s="41"/>
      <c r="AA116" s="41"/>
      <c r="AB116" s="41" t="s">
        <v>937</v>
      </c>
      <c r="AC116" s="49"/>
      <c r="AD116" s="49">
        <v>1212</v>
      </c>
      <c r="AE116" s="50"/>
      <c r="AF116" s="51"/>
      <c r="AG116" s="51"/>
      <c r="AH116" s="52"/>
      <c r="AI116" s="52"/>
      <c r="AJ116" s="53"/>
      <c r="AK116" s="52"/>
      <c r="AL116" s="43">
        <v>18</v>
      </c>
      <c r="AM116" s="168" t="s">
        <v>938</v>
      </c>
      <c r="AN116" s="36"/>
      <c r="AO116" s="36"/>
      <c r="AP116" s="37"/>
    </row>
    <row r="117" spans="1:42" s="190" customFormat="1" ht="18.75" customHeight="1" x14ac:dyDescent="0.25">
      <c r="A117" s="172">
        <v>46179</v>
      </c>
      <c r="B117" s="173">
        <f t="shared" si="2"/>
        <v>46179</v>
      </c>
      <c r="C117" s="174" t="s">
        <v>85</v>
      </c>
      <c r="D117" s="175" t="s">
        <v>86</v>
      </c>
      <c r="E117" s="175">
        <v>31517</v>
      </c>
      <c r="F117" s="175">
        <v>1</v>
      </c>
      <c r="G117" s="192" t="s">
        <v>929</v>
      </c>
      <c r="H117" s="176" t="s">
        <v>192</v>
      </c>
      <c r="I117" s="177"/>
      <c r="J117" s="178"/>
      <c r="K117" s="178">
        <f t="shared" si="3"/>
        <v>19.899999999999999</v>
      </c>
      <c r="L117" s="178"/>
      <c r="M117" s="178"/>
      <c r="N117" s="178"/>
      <c r="O117" s="178"/>
      <c r="P117" s="179">
        <v>19.899999999999999</v>
      </c>
      <c r="Q117" s="180"/>
      <c r="R117" s="173"/>
      <c r="S117" s="177"/>
      <c r="T117" s="174"/>
      <c r="U117" s="174"/>
      <c r="V117" s="181" t="s">
        <v>453</v>
      </c>
      <c r="W117" s="178"/>
      <c r="X117" s="172">
        <v>46179</v>
      </c>
      <c r="Y117" s="174" t="s">
        <v>454</v>
      </c>
      <c r="Z117" s="174"/>
      <c r="AA117" s="174"/>
      <c r="AB117" s="174" t="s">
        <v>937</v>
      </c>
      <c r="AC117" s="182"/>
      <c r="AD117" s="182">
        <v>1212</v>
      </c>
      <c r="AE117" s="183"/>
      <c r="AF117" s="184"/>
      <c r="AG117" s="184"/>
      <c r="AH117" s="185"/>
      <c r="AI117" s="185"/>
      <c r="AJ117" s="186"/>
      <c r="AK117" s="185"/>
      <c r="AL117" s="178">
        <v>18</v>
      </c>
      <c r="AM117" s="187" t="s">
        <v>938</v>
      </c>
      <c r="AN117" s="188"/>
      <c r="AO117" s="188"/>
      <c r="AP117" s="189"/>
    </row>
    <row r="118" spans="1:42" s="38" customFormat="1" ht="18.75" customHeight="1" x14ac:dyDescent="0.25">
      <c r="A118" s="44">
        <v>46179</v>
      </c>
      <c r="B118" s="40">
        <f t="shared" si="2"/>
        <v>46179</v>
      </c>
      <c r="C118" s="41" t="s">
        <v>85</v>
      </c>
      <c r="D118" s="45" t="s">
        <v>86</v>
      </c>
      <c r="E118" s="45">
        <v>31518</v>
      </c>
      <c r="F118" s="45">
        <v>1</v>
      </c>
      <c r="G118" s="191">
        <v>20085100</v>
      </c>
      <c r="H118" s="54" t="s">
        <v>193</v>
      </c>
      <c r="I118" s="42"/>
      <c r="J118" s="43"/>
      <c r="K118" s="43">
        <f t="shared" si="3"/>
        <v>106.2</v>
      </c>
      <c r="L118" s="43"/>
      <c r="M118" s="43"/>
      <c r="N118" s="43"/>
      <c r="O118" s="43"/>
      <c r="P118" s="46">
        <v>106.2</v>
      </c>
      <c r="Q118" s="47"/>
      <c r="R118" s="40"/>
      <c r="S118" s="42"/>
      <c r="T118" s="41"/>
      <c r="U118" s="41"/>
      <c r="V118" s="48" t="s">
        <v>453</v>
      </c>
      <c r="W118" s="43"/>
      <c r="X118" s="44">
        <v>46179</v>
      </c>
      <c r="Y118" s="41" t="s">
        <v>454</v>
      </c>
      <c r="Z118" s="41"/>
      <c r="AA118" s="41"/>
      <c r="AB118" s="41" t="s">
        <v>937</v>
      </c>
      <c r="AC118" s="49"/>
      <c r="AD118" s="49">
        <v>1212</v>
      </c>
      <c r="AE118" s="50"/>
      <c r="AF118" s="51"/>
      <c r="AG118" s="51"/>
      <c r="AH118" s="52"/>
      <c r="AI118" s="52"/>
      <c r="AJ118" s="53"/>
      <c r="AK118" s="52"/>
      <c r="AL118" s="43">
        <v>18</v>
      </c>
      <c r="AM118" s="168" t="s">
        <v>938</v>
      </c>
      <c r="AN118" s="36"/>
      <c r="AO118" s="36"/>
      <c r="AP118" s="37"/>
    </row>
    <row r="119" spans="1:42" s="38" customFormat="1" ht="18.75" customHeight="1" x14ac:dyDescent="0.25">
      <c r="A119" s="44">
        <v>46179</v>
      </c>
      <c r="B119" s="40">
        <f t="shared" si="2"/>
        <v>46179</v>
      </c>
      <c r="C119" s="41" t="s">
        <v>85</v>
      </c>
      <c r="D119" s="45" t="s">
        <v>86</v>
      </c>
      <c r="E119" s="45">
        <v>31519</v>
      </c>
      <c r="F119" s="45">
        <v>1</v>
      </c>
      <c r="G119" s="191">
        <v>70380157</v>
      </c>
      <c r="H119" s="54" t="s">
        <v>194</v>
      </c>
      <c r="I119" s="42"/>
      <c r="J119" s="43"/>
      <c r="K119" s="43">
        <f t="shared" si="3"/>
        <v>55.7</v>
      </c>
      <c r="L119" s="43"/>
      <c r="M119" s="43"/>
      <c r="N119" s="43"/>
      <c r="O119" s="43"/>
      <c r="P119" s="46">
        <v>55.7</v>
      </c>
      <c r="Q119" s="47"/>
      <c r="R119" s="40"/>
      <c r="S119" s="42"/>
      <c r="T119" s="41"/>
      <c r="U119" s="41"/>
      <c r="V119" s="48" t="s">
        <v>453</v>
      </c>
      <c r="W119" s="43"/>
      <c r="X119" s="44">
        <v>46179</v>
      </c>
      <c r="Y119" s="41" t="s">
        <v>454</v>
      </c>
      <c r="Z119" s="41"/>
      <c r="AA119" s="41"/>
      <c r="AB119" s="41" t="s">
        <v>937</v>
      </c>
      <c r="AC119" s="49"/>
      <c r="AD119" s="49">
        <v>1212</v>
      </c>
      <c r="AE119" s="50"/>
      <c r="AF119" s="51"/>
      <c r="AG119" s="51"/>
      <c r="AH119" s="52"/>
      <c r="AI119" s="52"/>
      <c r="AJ119" s="53"/>
      <c r="AK119" s="52"/>
      <c r="AL119" s="43">
        <v>18</v>
      </c>
      <c r="AM119" s="168" t="s">
        <v>938</v>
      </c>
      <c r="AN119" s="36"/>
      <c r="AO119" s="36"/>
      <c r="AP119" s="37"/>
    </row>
    <row r="120" spans="1:42" s="38" customFormat="1" ht="18.75" customHeight="1" x14ac:dyDescent="0.25">
      <c r="A120" s="44">
        <v>46179</v>
      </c>
      <c r="B120" s="40">
        <f t="shared" si="2"/>
        <v>46179</v>
      </c>
      <c r="C120" s="41" t="s">
        <v>85</v>
      </c>
      <c r="D120" s="45" t="s">
        <v>86</v>
      </c>
      <c r="E120" s="45">
        <v>31520</v>
      </c>
      <c r="F120" s="45">
        <v>1</v>
      </c>
      <c r="G120" s="191">
        <v>41125751</v>
      </c>
      <c r="H120" s="54" t="s">
        <v>195</v>
      </c>
      <c r="I120" s="42"/>
      <c r="J120" s="43"/>
      <c r="K120" s="43">
        <f t="shared" si="3"/>
        <v>10</v>
      </c>
      <c r="L120" s="43"/>
      <c r="M120" s="43"/>
      <c r="N120" s="43"/>
      <c r="O120" s="43"/>
      <c r="P120" s="46">
        <v>10</v>
      </c>
      <c r="Q120" s="47"/>
      <c r="R120" s="40"/>
      <c r="S120" s="42"/>
      <c r="T120" s="41"/>
      <c r="U120" s="41"/>
      <c r="V120" s="48" t="s">
        <v>453</v>
      </c>
      <c r="W120" s="43"/>
      <c r="X120" s="44">
        <v>46179</v>
      </c>
      <c r="Y120" s="41" t="s">
        <v>454</v>
      </c>
      <c r="Z120" s="41"/>
      <c r="AA120" s="41"/>
      <c r="AB120" s="41" t="s">
        <v>937</v>
      </c>
      <c r="AC120" s="49"/>
      <c r="AD120" s="49">
        <v>1212</v>
      </c>
      <c r="AE120" s="50"/>
      <c r="AF120" s="51"/>
      <c r="AG120" s="51"/>
      <c r="AH120" s="52"/>
      <c r="AI120" s="52"/>
      <c r="AJ120" s="53"/>
      <c r="AK120" s="52"/>
      <c r="AL120" s="43">
        <v>18</v>
      </c>
      <c r="AM120" s="168" t="s">
        <v>938</v>
      </c>
      <c r="AN120" s="36"/>
      <c r="AO120" s="36"/>
      <c r="AP120" s="37"/>
    </row>
    <row r="121" spans="1:42" s="38" customFormat="1" ht="18.75" customHeight="1" x14ac:dyDescent="0.25">
      <c r="A121" s="44">
        <v>46181</v>
      </c>
      <c r="B121" s="40">
        <f t="shared" si="2"/>
        <v>46181</v>
      </c>
      <c r="C121" s="41" t="s">
        <v>85</v>
      </c>
      <c r="D121" s="45" t="s">
        <v>86</v>
      </c>
      <c r="E121" s="45">
        <v>31521</v>
      </c>
      <c r="F121" s="45">
        <v>6</v>
      </c>
      <c r="G121" s="191">
        <v>20611305878</v>
      </c>
      <c r="H121" s="54" t="s">
        <v>196</v>
      </c>
      <c r="I121" s="42"/>
      <c r="J121" s="43"/>
      <c r="K121" s="43">
        <f t="shared" si="3"/>
        <v>250</v>
      </c>
      <c r="L121" s="43"/>
      <c r="M121" s="43"/>
      <c r="N121" s="43"/>
      <c r="O121" s="43"/>
      <c r="P121" s="46">
        <v>250</v>
      </c>
      <c r="Q121" s="47"/>
      <c r="R121" s="40"/>
      <c r="S121" s="42"/>
      <c r="T121" s="41"/>
      <c r="U121" s="41"/>
      <c r="V121" s="48" t="s">
        <v>453</v>
      </c>
      <c r="W121" s="43"/>
      <c r="X121" s="44">
        <v>46181</v>
      </c>
      <c r="Y121" s="41" t="s">
        <v>454</v>
      </c>
      <c r="Z121" s="41"/>
      <c r="AA121" s="41"/>
      <c r="AB121" s="41" t="s">
        <v>937</v>
      </c>
      <c r="AC121" s="49"/>
      <c r="AD121" s="49">
        <v>1212</v>
      </c>
      <c r="AE121" s="50"/>
      <c r="AF121" s="51"/>
      <c r="AG121" s="51"/>
      <c r="AH121" s="52"/>
      <c r="AI121" s="52"/>
      <c r="AJ121" s="53"/>
      <c r="AK121" s="52"/>
      <c r="AL121" s="43">
        <v>18</v>
      </c>
      <c r="AM121" s="168" t="s">
        <v>938</v>
      </c>
      <c r="AN121" s="36"/>
      <c r="AO121" s="36"/>
      <c r="AP121" s="37"/>
    </row>
    <row r="122" spans="1:42" s="38" customFormat="1" ht="18.75" customHeight="1" x14ac:dyDescent="0.25">
      <c r="A122" s="44">
        <v>46181</v>
      </c>
      <c r="B122" s="40">
        <f t="shared" si="2"/>
        <v>46181</v>
      </c>
      <c r="C122" s="41" t="s">
        <v>85</v>
      </c>
      <c r="D122" s="45" t="s">
        <v>86</v>
      </c>
      <c r="E122" s="45">
        <v>31522</v>
      </c>
      <c r="F122" s="45">
        <v>1</v>
      </c>
      <c r="G122" s="191">
        <v>75181935</v>
      </c>
      <c r="H122" s="54" t="s">
        <v>197</v>
      </c>
      <c r="I122" s="42"/>
      <c r="J122" s="43"/>
      <c r="K122" s="43">
        <f t="shared" si="3"/>
        <v>2.5</v>
      </c>
      <c r="L122" s="43"/>
      <c r="M122" s="43"/>
      <c r="N122" s="43"/>
      <c r="O122" s="43"/>
      <c r="P122" s="46">
        <v>2.5</v>
      </c>
      <c r="Q122" s="47"/>
      <c r="R122" s="40"/>
      <c r="S122" s="42"/>
      <c r="T122" s="41"/>
      <c r="U122" s="41"/>
      <c r="V122" s="48" t="s">
        <v>453</v>
      </c>
      <c r="W122" s="43"/>
      <c r="X122" s="44">
        <v>46181</v>
      </c>
      <c r="Y122" s="41" t="s">
        <v>454</v>
      </c>
      <c r="Z122" s="41"/>
      <c r="AA122" s="41"/>
      <c r="AB122" s="41" t="s">
        <v>937</v>
      </c>
      <c r="AC122" s="49"/>
      <c r="AD122" s="49">
        <v>1212</v>
      </c>
      <c r="AE122" s="50"/>
      <c r="AF122" s="51"/>
      <c r="AG122" s="51"/>
      <c r="AH122" s="52"/>
      <c r="AI122" s="52"/>
      <c r="AJ122" s="53"/>
      <c r="AK122" s="52"/>
      <c r="AL122" s="43">
        <v>18</v>
      </c>
      <c r="AM122" s="168" t="s">
        <v>938</v>
      </c>
      <c r="AN122" s="36"/>
      <c r="AO122" s="36"/>
      <c r="AP122" s="37"/>
    </row>
    <row r="123" spans="1:42" s="38" customFormat="1" ht="18.75" customHeight="1" x14ac:dyDescent="0.25">
      <c r="A123" s="44">
        <v>46181</v>
      </c>
      <c r="B123" s="40">
        <f t="shared" si="2"/>
        <v>46181</v>
      </c>
      <c r="C123" s="41" t="s">
        <v>85</v>
      </c>
      <c r="D123" s="45" t="s">
        <v>86</v>
      </c>
      <c r="E123" s="45">
        <v>31523</v>
      </c>
      <c r="F123" s="45">
        <v>6</v>
      </c>
      <c r="G123" s="191">
        <v>20518164717</v>
      </c>
      <c r="H123" s="54" t="s">
        <v>118</v>
      </c>
      <c r="I123" s="42"/>
      <c r="J123" s="43"/>
      <c r="K123" s="43">
        <f t="shared" si="3"/>
        <v>13.5</v>
      </c>
      <c r="L123" s="43"/>
      <c r="M123" s="43"/>
      <c r="N123" s="43"/>
      <c r="O123" s="43"/>
      <c r="P123" s="46">
        <v>13.5</v>
      </c>
      <c r="Q123" s="47"/>
      <c r="R123" s="40"/>
      <c r="S123" s="42"/>
      <c r="T123" s="41"/>
      <c r="U123" s="41"/>
      <c r="V123" s="48" t="s">
        <v>453</v>
      </c>
      <c r="W123" s="43"/>
      <c r="X123" s="44">
        <v>46181</v>
      </c>
      <c r="Y123" s="41" t="s">
        <v>454</v>
      </c>
      <c r="Z123" s="41"/>
      <c r="AA123" s="41"/>
      <c r="AB123" s="41" t="s">
        <v>937</v>
      </c>
      <c r="AC123" s="49"/>
      <c r="AD123" s="49">
        <v>1212</v>
      </c>
      <c r="AE123" s="50"/>
      <c r="AF123" s="51"/>
      <c r="AG123" s="51"/>
      <c r="AH123" s="52"/>
      <c r="AI123" s="52"/>
      <c r="AJ123" s="53"/>
      <c r="AK123" s="52"/>
      <c r="AL123" s="43">
        <v>18</v>
      </c>
      <c r="AM123" s="168" t="s">
        <v>938</v>
      </c>
      <c r="AN123" s="36"/>
      <c r="AO123" s="36"/>
      <c r="AP123" s="37"/>
    </row>
    <row r="124" spans="1:42" s="38" customFormat="1" ht="18.75" customHeight="1" x14ac:dyDescent="0.25">
      <c r="A124" s="44">
        <v>46181</v>
      </c>
      <c r="B124" s="40">
        <f t="shared" si="2"/>
        <v>46181</v>
      </c>
      <c r="C124" s="41" t="s">
        <v>85</v>
      </c>
      <c r="D124" s="45" t="s">
        <v>86</v>
      </c>
      <c r="E124" s="45">
        <v>31524</v>
      </c>
      <c r="F124" s="45">
        <v>1</v>
      </c>
      <c r="G124" s="191">
        <v>41773773</v>
      </c>
      <c r="H124" s="54" t="s">
        <v>198</v>
      </c>
      <c r="I124" s="42"/>
      <c r="J124" s="43"/>
      <c r="K124" s="43">
        <f t="shared" si="3"/>
        <v>12.7</v>
      </c>
      <c r="L124" s="43"/>
      <c r="M124" s="43"/>
      <c r="N124" s="43"/>
      <c r="O124" s="43"/>
      <c r="P124" s="46">
        <v>12.7</v>
      </c>
      <c r="Q124" s="47"/>
      <c r="R124" s="40"/>
      <c r="S124" s="42"/>
      <c r="T124" s="41"/>
      <c r="U124" s="41"/>
      <c r="V124" s="48" t="s">
        <v>453</v>
      </c>
      <c r="W124" s="43"/>
      <c r="X124" s="44">
        <v>46181</v>
      </c>
      <c r="Y124" s="41" t="s">
        <v>454</v>
      </c>
      <c r="Z124" s="41"/>
      <c r="AA124" s="41"/>
      <c r="AB124" s="41" t="s">
        <v>937</v>
      </c>
      <c r="AC124" s="49"/>
      <c r="AD124" s="49">
        <v>1212</v>
      </c>
      <c r="AE124" s="50"/>
      <c r="AF124" s="51"/>
      <c r="AG124" s="51"/>
      <c r="AH124" s="52"/>
      <c r="AI124" s="52"/>
      <c r="AJ124" s="53"/>
      <c r="AK124" s="52"/>
      <c r="AL124" s="43">
        <v>18</v>
      </c>
      <c r="AM124" s="168" t="s">
        <v>938</v>
      </c>
      <c r="AN124" s="36"/>
      <c r="AO124" s="36"/>
      <c r="AP124" s="37"/>
    </row>
    <row r="125" spans="1:42" s="38" customFormat="1" ht="18.75" customHeight="1" x14ac:dyDescent="0.25">
      <c r="A125" s="44">
        <v>46181</v>
      </c>
      <c r="B125" s="40">
        <f t="shared" si="2"/>
        <v>46181</v>
      </c>
      <c r="C125" s="41" t="s">
        <v>85</v>
      </c>
      <c r="D125" s="45" t="s">
        <v>86</v>
      </c>
      <c r="E125" s="45">
        <v>31525</v>
      </c>
      <c r="F125" s="45">
        <v>6</v>
      </c>
      <c r="G125" s="191">
        <v>10200544124</v>
      </c>
      <c r="H125" s="54" t="s">
        <v>199</v>
      </c>
      <c r="I125" s="42"/>
      <c r="J125" s="43"/>
      <c r="K125" s="43">
        <f t="shared" si="3"/>
        <v>9.9</v>
      </c>
      <c r="L125" s="43"/>
      <c r="M125" s="43"/>
      <c r="N125" s="43"/>
      <c r="O125" s="43"/>
      <c r="P125" s="46">
        <v>9.9</v>
      </c>
      <c r="Q125" s="47"/>
      <c r="R125" s="40"/>
      <c r="S125" s="42"/>
      <c r="T125" s="41"/>
      <c r="U125" s="41"/>
      <c r="V125" s="48" t="s">
        <v>453</v>
      </c>
      <c r="W125" s="43"/>
      <c r="X125" s="44">
        <v>46181</v>
      </c>
      <c r="Y125" s="41" t="s">
        <v>454</v>
      </c>
      <c r="Z125" s="41"/>
      <c r="AA125" s="41"/>
      <c r="AB125" s="41" t="s">
        <v>937</v>
      </c>
      <c r="AC125" s="49"/>
      <c r="AD125" s="49">
        <v>1212</v>
      </c>
      <c r="AE125" s="50"/>
      <c r="AF125" s="51"/>
      <c r="AG125" s="51"/>
      <c r="AH125" s="52"/>
      <c r="AI125" s="52"/>
      <c r="AJ125" s="53"/>
      <c r="AK125" s="52"/>
      <c r="AL125" s="43">
        <v>18</v>
      </c>
      <c r="AM125" s="168" t="s">
        <v>938</v>
      </c>
      <c r="AN125" s="36"/>
      <c r="AO125" s="36"/>
      <c r="AP125" s="37"/>
    </row>
    <row r="126" spans="1:42" s="38" customFormat="1" ht="18.75" customHeight="1" x14ac:dyDescent="0.25">
      <c r="A126" s="44">
        <v>46181</v>
      </c>
      <c r="B126" s="40">
        <f t="shared" si="2"/>
        <v>46181</v>
      </c>
      <c r="C126" s="41" t="s">
        <v>85</v>
      </c>
      <c r="D126" s="45" t="s">
        <v>86</v>
      </c>
      <c r="E126" s="45">
        <v>31526</v>
      </c>
      <c r="F126" s="45">
        <v>1</v>
      </c>
      <c r="G126" s="191">
        <v>20109803</v>
      </c>
      <c r="H126" s="54" t="s">
        <v>120</v>
      </c>
      <c r="I126" s="42"/>
      <c r="J126" s="43"/>
      <c r="K126" s="43">
        <f t="shared" si="3"/>
        <v>30</v>
      </c>
      <c r="L126" s="43"/>
      <c r="M126" s="43"/>
      <c r="N126" s="43"/>
      <c r="O126" s="43"/>
      <c r="P126" s="46">
        <v>30</v>
      </c>
      <c r="Q126" s="47"/>
      <c r="R126" s="40"/>
      <c r="S126" s="42"/>
      <c r="T126" s="41"/>
      <c r="U126" s="41"/>
      <c r="V126" s="48" t="s">
        <v>453</v>
      </c>
      <c r="W126" s="43"/>
      <c r="X126" s="44">
        <v>46181</v>
      </c>
      <c r="Y126" s="41" t="s">
        <v>454</v>
      </c>
      <c r="Z126" s="41"/>
      <c r="AA126" s="41"/>
      <c r="AB126" s="41" t="s">
        <v>937</v>
      </c>
      <c r="AC126" s="49"/>
      <c r="AD126" s="49">
        <v>1212</v>
      </c>
      <c r="AE126" s="50"/>
      <c r="AF126" s="51"/>
      <c r="AG126" s="51"/>
      <c r="AH126" s="52"/>
      <c r="AI126" s="52"/>
      <c r="AJ126" s="53"/>
      <c r="AK126" s="52"/>
      <c r="AL126" s="43">
        <v>18</v>
      </c>
      <c r="AM126" s="168" t="s">
        <v>938</v>
      </c>
      <c r="AN126" s="36"/>
      <c r="AO126" s="36"/>
      <c r="AP126" s="37"/>
    </row>
    <row r="127" spans="1:42" s="38" customFormat="1" ht="18.75" customHeight="1" x14ac:dyDescent="0.25">
      <c r="A127" s="44">
        <v>46181</v>
      </c>
      <c r="B127" s="40">
        <f t="shared" si="2"/>
        <v>46181</v>
      </c>
      <c r="C127" s="41" t="s">
        <v>85</v>
      </c>
      <c r="D127" s="45" t="s">
        <v>86</v>
      </c>
      <c r="E127" s="45">
        <v>31527</v>
      </c>
      <c r="F127" s="45">
        <v>1</v>
      </c>
      <c r="G127" s="191">
        <v>20425768</v>
      </c>
      <c r="H127" s="54" t="s">
        <v>200</v>
      </c>
      <c r="I127" s="42"/>
      <c r="J127" s="43"/>
      <c r="K127" s="43">
        <f t="shared" si="3"/>
        <v>29</v>
      </c>
      <c r="L127" s="43"/>
      <c r="M127" s="43"/>
      <c r="N127" s="43"/>
      <c r="O127" s="43"/>
      <c r="P127" s="46">
        <v>29</v>
      </c>
      <c r="Q127" s="47"/>
      <c r="R127" s="40"/>
      <c r="S127" s="42"/>
      <c r="T127" s="41"/>
      <c r="U127" s="41"/>
      <c r="V127" s="48" t="s">
        <v>453</v>
      </c>
      <c r="W127" s="43"/>
      <c r="X127" s="44">
        <v>46181</v>
      </c>
      <c r="Y127" s="41" t="s">
        <v>454</v>
      </c>
      <c r="Z127" s="41"/>
      <c r="AA127" s="41"/>
      <c r="AB127" s="41" t="s">
        <v>937</v>
      </c>
      <c r="AC127" s="49"/>
      <c r="AD127" s="49">
        <v>1212</v>
      </c>
      <c r="AE127" s="50"/>
      <c r="AF127" s="51"/>
      <c r="AG127" s="51"/>
      <c r="AH127" s="52"/>
      <c r="AI127" s="52"/>
      <c r="AJ127" s="53"/>
      <c r="AK127" s="52"/>
      <c r="AL127" s="43">
        <v>18</v>
      </c>
      <c r="AM127" s="168" t="s">
        <v>938</v>
      </c>
      <c r="AN127" s="36"/>
      <c r="AO127" s="36"/>
      <c r="AP127" s="37"/>
    </row>
    <row r="128" spans="1:42" s="38" customFormat="1" ht="18.75" customHeight="1" x14ac:dyDescent="0.25">
      <c r="A128" s="44">
        <v>46181</v>
      </c>
      <c r="B128" s="40">
        <f t="shared" si="2"/>
        <v>46181</v>
      </c>
      <c r="C128" s="41" t="s">
        <v>85</v>
      </c>
      <c r="D128" s="45" t="s">
        <v>86</v>
      </c>
      <c r="E128" s="45">
        <v>31528</v>
      </c>
      <c r="F128" s="45">
        <v>1</v>
      </c>
      <c r="G128" s="191">
        <v>20074160</v>
      </c>
      <c r="H128" s="54" t="s">
        <v>201</v>
      </c>
      <c r="I128" s="42"/>
      <c r="J128" s="43"/>
      <c r="K128" s="43">
        <f t="shared" si="3"/>
        <v>18.5</v>
      </c>
      <c r="L128" s="43"/>
      <c r="M128" s="43"/>
      <c r="N128" s="43"/>
      <c r="O128" s="43"/>
      <c r="P128" s="46">
        <v>18.5</v>
      </c>
      <c r="Q128" s="47"/>
      <c r="R128" s="40"/>
      <c r="S128" s="42"/>
      <c r="T128" s="41"/>
      <c r="U128" s="41"/>
      <c r="V128" s="48" t="s">
        <v>453</v>
      </c>
      <c r="W128" s="43"/>
      <c r="X128" s="44">
        <v>46181</v>
      </c>
      <c r="Y128" s="41" t="s">
        <v>454</v>
      </c>
      <c r="Z128" s="41"/>
      <c r="AA128" s="41"/>
      <c r="AB128" s="41" t="s">
        <v>937</v>
      </c>
      <c r="AC128" s="49"/>
      <c r="AD128" s="49">
        <v>1212</v>
      </c>
      <c r="AE128" s="50"/>
      <c r="AF128" s="51"/>
      <c r="AG128" s="51"/>
      <c r="AH128" s="52"/>
      <c r="AI128" s="52"/>
      <c r="AJ128" s="53"/>
      <c r="AK128" s="52"/>
      <c r="AL128" s="43">
        <v>18</v>
      </c>
      <c r="AM128" s="168" t="s">
        <v>938</v>
      </c>
      <c r="AN128" s="36"/>
      <c r="AO128" s="36"/>
      <c r="AP128" s="37"/>
    </row>
    <row r="129" spans="1:42" s="38" customFormat="1" ht="18.75" customHeight="1" x14ac:dyDescent="0.25">
      <c r="A129" s="44">
        <v>46181</v>
      </c>
      <c r="B129" s="40">
        <f t="shared" si="2"/>
        <v>46181</v>
      </c>
      <c r="C129" s="41" t="s">
        <v>85</v>
      </c>
      <c r="D129" s="45" t="s">
        <v>86</v>
      </c>
      <c r="E129" s="45">
        <v>31529</v>
      </c>
      <c r="F129" s="45">
        <v>1</v>
      </c>
      <c r="G129" s="191">
        <v>40816866</v>
      </c>
      <c r="H129" s="54" t="s">
        <v>202</v>
      </c>
      <c r="I129" s="42"/>
      <c r="J129" s="43"/>
      <c r="K129" s="43">
        <f t="shared" si="3"/>
        <v>50</v>
      </c>
      <c r="L129" s="43"/>
      <c r="M129" s="43"/>
      <c r="N129" s="43"/>
      <c r="O129" s="43"/>
      <c r="P129" s="46">
        <v>50</v>
      </c>
      <c r="Q129" s="47"/>
      <c r="R129" s="40"/>
      <c r="S129" s="42"/>
      <c r="T129" s="41"/>
      <c r="U129" s="41"/>
      <c r="V129" s="48" t="s">
        <v>453</v>
      </c>
      <c r="W129" s="43"/>
      <c r="X129" s="44">
        <v>46181</v>
      </c>
      <c r="Y129" s="41" t="s">
        <v>454</v>
      </c>
      <c r="Z129" s="41"/>
      <c r="AA129" s="41"/>
      <c r="AB129" s="41" t="s">
        <v>937</v>
      </c>
      <c r="AC129" s="49"/>
      <c r="AD129" s="49">
        <v>1212</v>
      </c>
      <c r="AE129" s="50"/>
      <c r="AF129" s="51"/>
      <c r="AG129" s="51"/>
      <c r="AH129" s="52"/>
      <c r="AI129" s="52"/>
      <c r="AJ129" s="53"/>
      <c r="AK129" s="52"/>
      <c r="AL129" s="43">
        <v>18</v>
      </c>
      <c r="AM129" s="168" t="s">
        <v>938</v>
      </c>
      <c r="AN129" s="36"/>
      <c r="AO129" s="36"/>
      <c r="AP129" s="37"/>
    </row>
    <row r="130" spans="1:42" s="38" customFormat="1" ht="18.75" customHeight="1" x14ac:dyDescent="0.25">
      <c r="A130" s="44">
        <v>46181</v>
      </c>
      <c r="B130" s="40">
        <f t="shared" si="2"/>
        <v>46181</v>
      </c>
      <c r="C130" s="41" t="s">
        <v>85</v>
      </c>
      <c r="D130" s="45" t="s">
        <v>86</v>
      </c>
      <c r="E130" s="45">
        <v>31530</v>
      </c>
      <c r="F130" s="45">
        <v>1</v>
      </c>
      <c r="G130" s="191">
        <v>72961983</v>
      </c>
      <c r="H130" s="54" t="s">
        <v>203</v>
      </c>
      <c r="I130" s="42"/>
      <c r="J130" s="43"/>
      <c r="K130" s="43">
        <f t="shared" si="3"/>
        <v>34.6</v>
      </c>
      <c r="L130" s="43"/>
      <c r="M130" s="43"/>
      <c r="N130" s="43"/>
      <c r="O130" s="43"/>
      <c r="P130" s="46">
        <v>34.6</v>
      </c>
      <c r="Q130" s="47"/>
      <c r="R130" s="40"/>
      <c r="S130" s="42"/>
      <c r="T130" s="41"/>
      <c r="U130" s="41"/>
      <c r="V130" s="48" t="s">
        <v>453</v>
      </c>
      <c r="W130" s="43"/>
      <c r="X130" s="44">
        <v>46181</v>
      </c>
      <c r="Y130" s="41" t="s">
        <v>454</v>
      </c>
      <c r="Z130" s="41"/>
      <c r="AA130" s="41"/>
      <c r="AB130" s="41" t="s">
        <v>937</v>
      </c>
      <c r="AC130" s="49"/>
      <c r="AD130" s="49">
        <v>1212</v>
      </c>
      <c r="AE130" s="50"/>
      <c r="AF130" s="51"/>
      <c r="AG130" s="51"/>
      <c r="AH130" s="52"/>
      <c r="AI130" s="52"/>
      <c r="AJ130" s="53"/>
      <c r="AK130" s="52"/>
      <c r="AL130" s="43">
        <v>18</v>
      </c>
      <c r="AM130" s="168" t="s">
        <v>938</v>
      </c>
      <c r="AN130" s="36"/>
      <c r="AO130" s="36"/>
      <c r="AP130" s="37"/>
    </row>
    <row r="131" spans="1:42" s="38" customFormat="1" ht="18.75" customHeight="1" x14ac:dyDescent="0.25">
      <c r="A131" s="44">
        <v>46181</v>
      </c>
      <c r="B131" s="40">
        <f t="shared" si="2"/>
        <v>46181</v>
      </c>
      <c r="C131" s="41" t="s">
        <v>85</v>
      </c>
      <c r="D131" s="45" t="s">
        <v>86</v>
      </c>
      <c r="E131" s="45">
        <v>31531</v>
      </c>
      <c r="F131" s="45">
        <v>1</v>
      </c>
      <c r="G131" s="191">
        <v>19928350</v>
      </c>
      <c r="H131" s="54" t="s">
        <v>204</v>
      </c>
      <c r="I131" s="42"/>
      <c r="J131" s="43"/>
      <c r="K131" s="43">
        <f t="shared" si="3"/>
        <v>10</v>
      </c>
      <c r="L131" s="43"/>
      <c r="M131" s="43"/>
      <c r="N131" s="43"/>
      <c r="O131" s="43"/>
      <c r="P131" s="46">
        <v>10</v>
      </c>
      <c r="Q131" s="47"/>
      <c r="R131" s="40"/>
      <c r="S131" s="42"/>
      <c r="T131" s="41"/>
      <c r="U131" s="41"/>
      <c r="V131" s="48" t="s">
        <v>453</v>
      </c>
      <c r="W131" s="43"/>
      <c r="X131" s="44">
        <v>46181</v>
      </c>
      <c r="Y131" s="41" t="s">
        <v>454</v>
      </c>
      <c r="Z131" s="41"/>
      <c r="AA131" s="41"/>
      <c r="AB131" s="41" t="s">
        <v>937</v>
      </c>
      <c r="AC131" s="49"/>
      <c r="AD131" s="49">
        <v>1212</v>
      </c>
      <c r="AE131" s="50"/>
      <c r="AF131" s="51"/>
      <c r="AG131" s="51"/>
      <c r="AH131" s="52"/>
      <c r="AI131" s="52"/>
      <c r="AJ131" s="53"/>
      <c r="AK131" s="52"/>
      <c r="AL131" s="43">
        <v>18</v>
      </c>
      <c r="AM131" s="168" t="s">
        <v>938</v>
      </c>
      <c r="AN131" s="36"/>
      <c r="AO131" s="36"/>
      <c r="AP131" s="37"/>
    </row>
    <row r="132" spans="1:42" s="38" customFormat="1" ht="18.75" customHeight="1" x14ac:dyDescent="0.25">
      <c r="A132" s="44">
        <v>46181</v>
      </c>
      <c r="B132" s="40">
        <f t="shared" si="2"/>
        <v>46181</v>
      </c>
      <c r="C132" s="41" t="s">
        <v>85</v>
      </c>
      <c r="D132" s="45" t="s">
        <v>86</v>
      </c>
      <c r="E132" s="45">
        <v>31532</v>
      </c>
      <c r="F132" s="45">
        <v>1</v>
      </c>
      <c r="G132" s="191">
        <v>41617406</v>
      </c>
      <c r="H132" s="54" t="s">
        <v>205</v>
      </c>
      <c r="I132" s="42"/>
      <c r="J132" s="43"/>
      <c r="K132" s="43">
        <f t="shared" si="3"/>
        <v>18</v>
      </c>
      <c r="L132" s="43"/>
      <c r="M132" s="43"/>
      <c r="N132" s="43"/>
      <c r="O132" s="43"/>
      <c r="P132" s="46">
        <v>18</v>
      </c>
      <c r="Q132" s="47"/>
      <c r="R132" s="40"/>
      <c r="S132" s="42"/>
      <c r="T132" s="41"/>
      <c r="U132" s="41"/>
      <c r="V132" s="48" t="s">
        <v>453</v>
      </c>
      <c r="W132" s="43"/>
      <c r="X132" s="44">
        <v>46181</v>
      </c>
      <c r="Y132" s="41" t="s">
        <v>454</v>
      </c>
      <c r="Z132" s="41"/>
      <c r="AA132" s="41"/>
      <c r="AB132" s="41" t="s">
        <v>937</v>
      </c>
      <c r="AC132" s="49"/>
      <c r="AD132" s="49">
        <v>1212</v>
      </c>
      <c r="AE132" s="50"/>
      <c r="AF132" s="51"/>
      <c r="AG132" s="51"/>
      <c r="AH132" s="52"/>
      <c r="AI132" s="52"/>
      <c r="AJ132" s="53"/>
      <c r="AK132" s="52"/>
      <c r="AL132" s="43">
        <v>18</v>
      </c>
      <c r="AM132" s="168" t="s">
        <v>938</v>
      </c>
      <c r="AN132" s="36"/>
      <c r="AO132" s="36"/>
      <c r="AP132" s="37"/>
    </row>
    <row r="133" spans="1:42" s="38" customFormat="1" ht="18.75" customHeight="1" x14ac:dyDescent="0.25">
      <c r="A133" s="44">
        <v>46181</v>
      </c>
      <c r="B133" s="40">
        <f t="shared" ref="B133:B196" si="4">+A133</f>
        <v>46181</v>
      </c>
      <c r="C133" s="41" t="s">
        <v>85</v>
      </c>
      <c r="D133" s="45" t="s">
        <v>86</v>
      </c>
      <c r="E133" s="45">
        <v>31533</v>
      </c>
      <c r="F133" s="45">
        <v>1</v>
      </c>
      <c r="G133" s="191">
        <v>74139047</v>
      </c>
      <c r="H133" s="54" t="s">
        <v>206</v>
      </c>
      <c r="I133" s="42"/>
      <c r="J133" s="43"/>
      <c r="K133" s="43">
        <f t="shared" ref="K133:K196" si="5">+P133</f>
        <v>9.5</v>
      </c>
      <c r="L133" s="43"/>
      <c r="M133" s="43"/>
      <c r="N133" s="43"/>
      <c r="O133" s="43"/>
      <c r="P133" s="46">
        <v>9.5</v>
      </c>
      <c r="Q133" s="47"/>
      <c r="R133" s="40"/>
      <c r="S133" s="42"/>
      <c r="T133" s="41"/>
      <c r="U133" s="41"/>
      <c r="V133" s="48" t="s">
        <v>453</v>
      </c>
      <c r="W133" s="43"/>
      <c r="X133" s="44">
        <v>46181</v>
      </c>
      <c r="Y133" s="41" t="s">
        <v>454</v>
      </c>
      <c r="Z133" s="41"/>
      <c r="AA133" s="41"/>
      <c r="AB133" s="41" t="s">
        <v>937</v>
      </c>
      <c r="AC133" s="49"/>
      <c r="AD133" s="49">
        <v>1212</v>
      </c>
      <c r="AE133" s="50"/>
      <c r="AF133" s="51"/>
      <c r="AG133" s="51"/>
      <c r="AH133" s="52"/>
      <c r="AI133" s="52"/>
      <c r="AJ133" s="53"/>
      <c r="AK133" s="52"/>
      <c r="AL133" s="43">
        <v>18</v>
      </c>
      <c r="AM133" s="168" t="s">
        <v>938</v>
      </c>
      <c r="AN133" s="36"/>
      <c r="AO133" s="36"/>
      <c r="AP133" s="37"/>
    </row>
    <row r="134" spans="1:42" s="38" customFormat="1" ht="18.75" customHeight="1" x14ac:dyDescent="0.25">
      <c r="A134" s="44">
        <v>46181</v>
      </c>
      <c r="B134" s="40">
        <f t="shared" si="4"/>
        <v>46181</v>
      </c>
      <c r="C134" s="41" t="s">
        <v>85</v>
      </c>
      <c r="D134" s="45" t="s">
        <v>86</v>
      </c>
      <c r="E134" s="45">
        <v>31534</v>
      </c>
      <c r="F134" s="45">
        <v>1</v>
      </c>
      <c r="G134" s="191">
        <v>74362758</v>
      </c>
      <c r="H134" s="54" t="s">
        <v>207</v>
      </c>
      <c r="I134" s="42"/>
      <c r="J134" s="43"/>
      <c r="K134" s="43">
        <f t="shared" si="5"/>
        <v>25</v>
      </c>
      <c r="L134" s="43"/>
      <c r="M134" s="43"/>
      <c r="N134" s="43"/>
      <c r="O134" s="43"/>
      <c r="P134" s="46">
        <v>25</v>
      </c>
      <c r="Q134" s="47"/>
      <c r="R134" s="40"/>
      <c r="S134" s="42"/>
      <c r="T134" s="41"/>
      <c r="U134" s="41"/>
      <c r="V134" s="48" t="s">
        <v>453</v>
      </c>
      <c r="W134" s="43"/>
      <c r="X134" s="44">
        <v>46181</v>
      </c>
      <c r="Y134" s="41" t="s">
        <v>454</v>
      </c>
      <c r="Z134" s="41"/>
      <c r="AA134" s="41"/>
      <c r="AB134" s="41" t="s">
        <v>937</v>
      </c>
      <c r="AC134" s="49"/>
      <c r="AD134" s="49">
        <v>1212</v>
      </c>
      <c r="AE134" s="50"/>
      <c r="AF134" s="51"/>
      <c r="AG134" s="51"/>
      <c r="AH134" s="52"/>
      <c r="AI134" s="52"/>
      <c r="AJ134" s="53"/>
      <c r="AK134" s="52"/>
      <c r="AL134" s="43">
        <v>18</v>
      </c>
      <c r="AM134" s="168" t="s">
        <v>938</v>
      </c>
      <c r="AN134" s="36"/>
      <c r="AO134" s="36"/>
      <c r="AP134" s="37"/>
    </row>
    <row r="135" spans="1:42" s="38" customFormat="1" ht="18.75" customHeight="1" x14ac:dyDescent="0.25">
      <c r="A135" s="44">
        <v>46181</v>
      </c>
      <c r="B135" s="40">
        <f t="shared" si="4"/>
        <v>46181</v>
      </c>
      <c r="C135" s="41" t="s">
        <v>85</v>
      </c>
      <c r="D135" s="45" t="s">
        <v>86</v>
      </c>
      <c r="E135" s="45">
        <v>31535</v>
      </c>
      <c r="F135" s="45">
        <v>1</v>
      </c>
      <c r="G135" s="191">
        <v>43567980</v>
      </c>
      <c r="H135" s="54" t="s">
        <v>208</v>
      </c>
      <c r="I135" s="42"/>
      <c r="J135" s="43"/>
      <c r="K135" s="43">
        <f t="shared" si="5"/>
        <v>41</v>
      </c>
      <c r="L135" s="43"/>
      <c r="M135" s="43"/>
      <c r="N135" s="43"/>
      <c r="O135" s="43"/>
      <c r="P135" s="46">
        <v>41</v>
      </c>
      <c r="Q135" s="47"/>
      <c r="R135" s="40"/>
      <c r="S135" s="42"/>
      <c r="T135" s="41"/>
      <c r="U135" s="41"/>
      <c r="V135" s="48" t="s">
        <v>453</v>
      </c>
      <c r="W135" s="43"/>
      <c r="X135" s="44">
        <v>46181</v>
      </c>
      <c r="Y135" s="41" t="s">
        <v>454</v>
      </c>
      <c r="Z135" s="41"/>
      <c r="AA135" s="41"/>
      <c r="AB135" s="41" t="s">
        <v>937</v>
      </c>
      <c r="AC135" s="49"/>
      <c r="AD135" s="49">
        <v>1212</v>
      </c>
      <c r="AE135" s="50"/>
      <c r="AF135" s="51"/>
      <c r="AG135" s="51"/>
      <c r="AH135" s="52"/>
      <c r="AI135" s="52"/>
      <c r="AJ135" s="53"/>
      <c r="AK135" s="52"/>
      <c r="AL135" s="43">
        <v>18</v>
      </c>
      <c r="AM135" s="168" t="s">
        <v>938</v>
      </c>
      <c r="AN135" s="36"/>
      <c r="AO135" s="36"/>
      <c r="AP135" s="37"/>
    </row>
    <row r="136" spans="1:42" s="38" customFormat="1" ht="18.75" customHeight="1" x14ac:dyDescent="0.25">
      <c r="A136" s="44">
        <v>46181</v>
      </c>
      <c r="B136" s="40">
        <f t="shared" si="4"/>
        <v>46181</v>
      </c>
      <c r="C136" s="41" t="s">
        <v>85</v>
      </c>
      <c r="D136" s="45" t="s">
        <v>86</v>
      </c>
      <c r="E136" s="45">
        <v>31536</v>
      </c>
      <c r="F136" s="45">
        <v>1</v>
      </c>
      <c r="G136" s="191">
        <v>20436546</v>
      </c>
      <c r="H136" s="54" t="s">
        <v>209</v>
      </c>
      <c r="I136" s="42"/>
      <c r="J136" s="43"/>
      <c r="K136" s="43">
        <f t="shared" si="5"/>
        <v>5</v>
      </c>
      <c r="L136" s="43"/>
      <c r="M136" s="43"/>
      <c r="N136" s="43"/>
      <c r="O136" s="43"/>
      <c r="P136" s="46">
        <v>5</v>
      </c>
      <c r="Q136" s="47"/>
      <c r="R136" s="40"/>
      <c r="S136" s="42"/>
      <c r="T136" s="41"/>
      <c r="U136" s="41"/>
      <c r="V136" s="48" t="s">
        <v>453</v>
      </c>
      <c r="W136" s="43"/>
      <c r="X136" s="44">
        <v>46181</v>
      </c>
      <c r="Y136" s="41" t="s">
        <v>454</v>
      </c>
      <c r="Z136" s="41"/>
      <c r="AA136" s="41"/>
      <c r="AB136" s="41" t="s">
        <v>937</v>
      </c>
      <c r="AC136" s="49"/>
      <c r="AD136" s="49">
        <v>1212</v>
      </c>
      <c r="AE136" s="50"/>
      <c r="AF136" s="51"/>
      <c r="AG136" s="51"/>
      <c r="AH136" s="52"/>
      <c r="AI136" s="52"/>
      <c r="AJ136" s="53"/>
      <c r="AK136" s="52"/>
      <c r="AL136" s="43">
        <v>18</v>
      </c>
      <c r="AM136" s="168" t="s">
        <v>938</v>
      </c>
      <c r="AN136" s="36"/>
      <c r="AO136" s="36"/>
      <c r="AP136" s="37"/>
    </row>
    <row r="137" spans="1:42" s="38" customFormat="1" ht="18.75" customHeight="1" x14ac:dyDescent="0.25">
      <c r="A137" s="44">
        <v>46181</v>
      </c>
      <c r="B137" s="40">
        <f t="shared" si="4"/>
        <v>46181</v>
      </c>
      <c r="C137" s="41" t="s">
        <v>85</v>
      </c>
      <c r="D137" s="45" t="s">
        <v>86</v>
      </c>
      <c r="E137" s="45">
        <v>31537</v>
      </c>
      <c r="F137" s="45">
        <v>1</v>
      </c>
      <c r="G137" s="191">
        <v>20432489</v>
      </c>
      <c r="H137" s="54" t="s">
        <v>210</v>
      </c>
      <c r="I137" s="42"/>
      <c r="J137" s="43"/>
      <c r="K137" s="43">
        <f t="shared" si="5"/>
        <v>8.6999999999999993</v>
      </c>
      <c r="L137" s="43"/>
      <c r="M137" s="43"/>
      <c r="N137" s="43"/>
      <c r="O137" s="43"/>
      <c r="P137" s="46">
        <v>8.6999999999999993</v>
      </c>
      <c r="Q137" s="47"/>
      <c r="R137" s="40"/>
      <c r="S137" s="42"/>
      <c r="T137" s="41"/>
      <c r="U137" s="41"/>
      <c r="V137" s="48" t="s">
        <v>453</v>
      </c>
      <c r="W137" s="43"/>
      <c r="X137" s="44">
        <v>46181</v>
      </c>
      <c r="Y137" s="41" t="s">
        <v>454</v>
      </c>
      <c r="Z137" s="41"/>
      <c r="AA137" s="41"/>
      <c r="AB137" s="41" t="s">
        <v>937</v>
      </c>
      <c r="AC137" s="49"/>
      <c r="AD137" s="49">
        <v>1212</v>
      </c>
      <c r="AE137" s="50"/>
      <c r="AF137" s="51"/>
      <c r="AG137" s="51"/>
      <c r="AH137" s="52"/>
      <c r="AI137" s="52"/>
      <c r="AJ137" s="53"/>
      <c r="AK137" s="52"/>
      <c r="AL137" s="43">
        <v>18</v>
      </c>
      <c r="AM137" s="168" t="s">
        <v>938</v>
      </c>
      <c r="AN137" s="36"/>
      <c r="AO137" s="36"/>
      <c r="AP137" s="37"/>
    </row>
    <row r="138" spans="1:42" s="38" customFormat="1" ht="18.75" customHeight="1" x14ac:dyDescent="0.25">
      <c r="A138" s="44">
        <v>46181</v>
      </c>
      <c r="B138" s="40">
        <f t="shared" si="4"/>
        <v>46181</v>
      </c>
      <c r="C138" s="41" t="s">
        <v>85</v>
      </c>
      <c r="D138" s="45" t="s">
        <v>86</v>
      </c>
      <c r="E138" s="45">
        <v>31538</v>
      </c>
      <c r="F138" s="45">
        <v>1</v>
      </c>
      <c r="G138" s="191">
        <v>77299773</v>
      </c>
      <c r="H138" s="54" t="s">
        <v>211</v>
      </c>
      <c r="I138" s="42"/>
      <c r="J138" s="43"/>
      <c r="K138" s="43">
        <f t="shared" si="5"/>
        <v>7.5</v>
      </c>
      <c r="L138" s="43"/>
      <c r="M138" s="43"/>
      <c r="N138" s="43"/>
      <c r="O138" s="43"/>
      <c r="P138" s="46">
        <v>7.5</v>
      </c>
      <c r="Q138" s="47"/>
      <c r="R138" s="40"/>
      <c r="S138" s="42"/>
      <c r="T138" s="41"/>
      <c r="U138" s="41"/>
      <c r="V138" s="48" t="s">
        <v>453</v>
      </c>
      <c r="W138" s="43"/>
      <c r="X138" s="44">
        <v>46181</v>
      </c>
      <c r="Y138" s="41" t="s">
        <v>454</v>
      </c>
      <c r="Z138" s="41"/>
      <c r="AA138" s="41"/>
      <c r="AB138" s="41" t="s">
        <v>937</v>
      </c>
      <c r="AC138" s="49"/>
      <c r="AD138" s="49">
        <v>1212</v>
      </c>
      <c r="AE138" s="50"/>
      <c r="AF138" s="51"/>
      <c r="AG138" s="51"/>
      <c r="AH138" s="52"/>
      <c r="AI138" s="52"/>
      <c r="AJ138" s="53"/>
      <c r="AK138" s="52"/>
      <c r="AL138" s="43">
        <v>18</v>
      </c>
      <c r="AM138" s="168" t="s">
        <v>938</v>
      </c>
      <c r="AN138" s="36"/>
      <c r="AO138" s="36"/>
      <c r="AP138" s="37"/>
    </row>
    <row r="139" spans="1:42" s="38" customFormat="1" ht="18.75" customHeight="1" x14ac:dyDescent="0.25">
      <c r="A139" s="44">
        <v>46181</v>
      </c>
      <c r="B139" s="40">
        <f t="shared" si="4"/>
        <v>46181</v>
      </c>
      <c r="C139" s="41" t="s">
        <v>85</v>
      </c>
      <c r="D139" s="45" t="s">
        <v>86</v>
      </c>
      <c r="E139" s="45">
        <v>31539</v>
      </c>
      <c r="F139" s="45">
        <v>1</v>
      </c>
      <c r="G139" s="191">
        <v>47714088</v>
      </c>
      <c r="H139" s="54" t="s">
        <v>212</v>
      </c>
      <c r="I139" s="42"/>
      <c r="J139" s="43"/>
      <c r="K139" s="43">
        <f t="shared" si="5"/>
        <v>10</v>
      </c>
      <c r="L139" s="43"/>
      <c r="M139" s="43"/>
      <c r="N139" s="43"/>
      <c r="O139" s="43"/>
      <c r="P139" s="46">
        <v>10</v>
      </c>
      <c r="Q139" s="47"/>
      <c r="R139" s="40"/>
      <c r="S139" s="42"/>
      <c r="T139" s="41"/>
      <c r="U139" s="41"/>
      <c r="V139" s="48" t="s">
        <v>453</v>
      </c>
      <c r="W139" s="43"/>
      <c r="X139" s="44">
        <v>46181</v>
      </c>
      <c r="Y139" s="41" t="s">
        <v>454</v>
      </c>
      <c r="Z139" s="41"/>
      <c r="AA139" s="41"/>
      <c r="AB139" s="41" t="s">
        <v>937</v>
      </c>
      <c r="AC139" s="49"/>
      <c r="AD139" s="49">
        <v>1212</v>
      </c>
      <c r="AE139" s="50"/>
      <c r="AF139" s="51"/>
      <c r="AG139" s="51"/>
      <c r="AH139" s="52"/>
      <c r="AI139" s="52"/>
      <c r="AJ139" s="53"/>
      <c r="AK139" s="52"/>
      <c r="AL139" s="43">
        <v>18</v>
      </c>
      <c r="AM139" s="168" t="s">
        <v>938</v>
      </c>
      <c r="AN139" s="36"/>
      <c r="AO139" s="36"/>
      <c r="AP139" s="37"/>
    </row>
    <row r="140" spans="1:42" s="38" customFormat="1" ht="18.75" customHeight="1" x14ac:dyDescent="0.25">
      <c r="A140" s="44">
        <v>46181</v>
      </c>
      <c r="B140" s="40">
        <f t="shared" si="4"/>
        <v>46181</v>
      </c>
      <c r="C140" s="41" t="s">
        <v>85</v>
      </c>
      <c r="D140" s="45" t="s">
        <v>86</v>
      </c>
      <c r="E140" s="45">
        <v>31540</v>
      </c>
      <c r="F140" s="45">
        <v>1</v>
      </c>
      <c r="G140" s="191">
        <v>20432091</v>
      </c>
      <c r="H140" s="54" t="s">
        <v>213</v>
      </c>
      <c r="I140" s="42"/>
      <c r="J140" s="43"/>
      <c r="K140" s="43">
        <f t="shared" si="5"/>
        <v>5</v>
      </c>
      <c r="L140" s="43"/>
      <c r="M140" s="43"/>
      <c r="N140" s="43"/>
      <c r="O140" s="43"/>
      <c r="P140" s="46">
        <v>5</v>
      </c>
      <c r="Q140" s="47"/>
      <c r="R140" s="40"/>
      <c r="S140" s="42"/>
      <c r="T140" s="41"/>
      <c r="U140" s="41"/>
      <c r="V140" s="48" t="s">
        <v>453</v>
      </c>
      <c r="W140" s="43"/>
      <c r="X140" s="44">
        <v>46181</v>
      </c>
      <c r="Y140" s="41" t="s">
        <v>454</v>
      </c>
      <c r="Z140" s="41"/>
      <c r="AA140" s="41"/>
      <c r="AB140" s="41" t="s">
        <v>937</v>
      </c>
      <c r="AC140" s="49"/>
      <c r="AD140" s="49">
        <v>1212</v>
      </c>
      <c r="AE140" s="50"/>
      <c r="AF140" s="51"/>
      <c r="AG140" s="51"/>
      <c r="AH140" s="52"/>
      <c r="AI140" s="52"/>
      <c r="AJ140" s="53"/>
      <c r="AK140" s="52"/>
      <c r="AL140" s="43">
        <v>18</v>
      </c>
      <c r="AM140" s="168" t="s">
        <v>938</v>
      </c>
      <c r="AN140" s="36"/>
      <c r="AO140" s="36"/>
      <c r="AP140" s="37"/>
    </row>
    <row r="141" spans="1:42" s="38" customFormat="1" ht="18.75" customHeight="1" x14ac:dyDescent="0.25">
      <c r="A141" s="44">
        <v>46181</v>
      </c>
      <c r="B141" s="40">
        <f t="shared" si="4"/>
        <v>46181</v>
      </c>
      <c r="C141" s="41" t="s">
        <v>85</v>
      </c>
      <c r="D141" s="45" t="s">
        <v>86</v>
      </c>
      <c r="E141" s="45">
        <v>31541</v>
      </c>
      <c r="F141" s="45">
        <v>1</v>
      </c>
      <c r="G141" s="191">
        <v>43528533</v>
      </c>
      <c r="H141" s="54" t="s">
        <v>214</v>
      </c>
      <c r="I141" s="42"/>
      <c r="J141" s="43"/>
      <c r="K141" s="43">
        <f t="shared" si="5"/>
        <v>25</v>
      </c>
      <c r="L141" s="43"/>
      <c r="M141" s="43"/>
      <c r="N141" s="43"/>
      <c r="O141" s="43"/>
      <c r="P141" s="46">
        <v>25</v>
      </c>
      <c r="Q141" s="47"/>
      <c r="R141" s="40"/>
      <c r="S141" s="42"/>
      <c r="T141" s="41"/>
      <c r="U141" s="41"/>
      <c r="V141" s="48" t="s">
        <v>453</v>
      </c>
      <c r="W141" s="43"/>
      <c r="X141" s="44">
        <v>46181</v>
      </c>
      <c r="Y141" s="41" t="s">
        <v>454</v>
      </c>
      <c r="Z141" s="41"/>
      <c r="AA141" s="41"/>
      <c r="AB141" s="41" t="s">
        <v>937</v>
      </c>
      <c r="AC141" s="49"/>
      <c r="AD141" s="49">
        <v>1212</v>
      </c>
      <c r="AE141" s="50"/>
      <c r="AF141" s="51"/>
      <c r="AG141" s="51"/>
      <c r="AH141" s="52"/>
      <c r="AI141" s="52"/>
      <c r="AJ141" s="53"/>
      <c r="AK141" s="52"/>
      <c r="AL141" s="43">
        <v>18</v>
      </c>
      <c r="AM141" s="168" t="s">
        <v>938</v>
      </c>
      <c r="AN141" s="36"/>
      <c r="AO141" s="36"/>
      <c r="AP141" s="37"/>
    </row>
    <row r="142" spans="1:42" s="38" customFormat="1" ht="18.75" customHeight="1" x14ac:dyDescent="0.25">
      <c r="A142" s="44">
        <v>46181</v>
      </c>
      <c r="B142" s="40">
        <f t="shared" si="4"/>
        <v>46181</v>
      </c>
      <c r="C142" s="41" t="s">
        <v>85</v>
      </c>
      <c r="D142" s="45" t="s">
        <v>86</v>
      </c>
      <c r="E142" s="45">
        <v>31542</v>
      </c>
      <c r="F142" s="45">
        <v>1</v>
      </c>
      <c r="G142" s="191">
        <v>41978800</v>
      </c>
      <c r="H142" s="54" t="s">
        <v>215</v>
      </c>
      <c r="I142" s="42"/>
      <c r="J142" s="43"/>
      <c r="K142" s="43">
        <f t="shared" si="5"/>
        <v>5</v>
      </c>
      <c r="L142" s="43"/>
      <c r="M142" s="43"/>
      <c r="N142" s="43"/>
      <c r="O142" s="43"/>
      <c r="P142" s="46">
        <v>5</v>
      </c>
      <c r="Q142" s="47"/>
      <c r="R142" s="40"/>
      <c r="S142" s="42"/>
      <c r="T142" s="41"/>
      <c r="U142" s="41"/>
      <c r="V142" s="48" t="s">
        <v>453</v>
      </c>
      <c r="W142" s="43"/>
      <c r="X142" s="44">
        <v>46181</v>
      </c>
      <c r="Y142" s="41" t="s">
        <v>454</v>
      </c>
      <c r="Z142" s="41"/>
      <c r="AA142" s="41"/>
      <c r="AB142" s="41" t="s">
        <v>937</v>
      </c>
      <c r="AC142" s="49"/>
      <c r="AD142" s="49">
        <v>1212</v>
      </c>
      <c r="AE142" s="50"/>
      <c r="AF142" s="51"/>
      <c r="AG142" s="51"/>
      <c r="AH142" s="52"/>
      <c r="AI142" s="52"/>
      <c r="AJ142" s="53"/>
      <c r="AK142" s="52"/>
      <c r="AL142" s="43">
        <v>18</v>
      </c>
      <c r="AM142" s="168" t="s">
        <v>938</v>
      </c>
      <c r="AN142" s="36"/>
      <c r="AO142" s="36"/>
      <c r="AP142" s="37"/>
    </row>
    <row r="143" spans="1:42" s="38" customFormat="1" ht="18.75" customHeight="1" x14ac:dyDescent="0.25">
      <c r="A143" s="44">
        <v>46182</v>
      </c>
      <c r="B143" s="40">
        <f t="shared" si="4"/>
        <v>46182</v>
      </c>
      <c r="C143" s="41" t="s">
        <v>85</v>
      </c>
      <c r="D143" s="45" t="s">
        <v>86</v>
      </c>
      <c r="E143" s="45">
        <v>31543</v>
      </c>
      <c r="F143" s="45">
        <v>6</v>
      </c>
      <c r="G143" s="191">
        <v>20611305878</v>
      </c>
      <c r="H143" s="54" t="s">
        <v>196</v>
      </c>
      <c r="I143" s="42"/>
      <c r="J143" s="43"/>
      <c r="K143" s="43">
        <f t="shared" si="5"/>
        <v>250</v>
      </c>
      <c r="L143" s="43"/>
      <c r="M143" s="43"/>
      <c r="N143" s="43"/>
      <c r="O143" s="43"/>
      <c r="P143" s="46">
        <v>250</v>
      </c>
      <c r="Q143" s="47"/>
      <c r="R143" s="40"/>
      <c r="S143" s="42"/>
      <c r="T143" s="41"/>
      <c r="U143" s="41"/>
      <c r="V143" s="48" t="s">
        <v>453</v>
      </c>
      <c r="W143" s="43"/>
      <c r="X143" s="44">
        <v>46182</v>
      </c>
      <c r="Y143" s="41" t="s">
        <v>454</v>
      </c>
      <c r="Z143" s="41"/>
      <c r="AA143" s="41"/>
      <c r="AB143" s="41" t="s">
        <v>937</v>
      </c>
      <c r="AC143" s="49"/>
      <c r="AD143" s="49">
        <v>1212</v>
      </c>
      <c r="AE143" s="50"/>
      <c r="AF143" s="51"/>
      <c r="AG143" s="51"/>
      <c r="AH143" s="52"/>
      <c r="AI143" s="52"/>
      <c r="AJ143" s="53"/>
      <c r="AK143" s="52"/>
      <c r="AL143" s="43">
        <v>18</v>
      </c>
      <c r="AM143" s="168" t="s">
        <v>938</v>
      </c>
      <c r="AN143" s="36"/>
      <c r="AO143" s="36"/>
      <c r="AP143" s="37"/>
    </row>
    <row r="144" spans="1:42" s="38" customFormat="1" ht="18.75" customHeight="1" x14ac:dyDescent="0.25">
      <c r="A144" s="44">
        <v>46182</v>
      </c>
      <c r="B144" s="40">
        <f t="shared" si="4"/>
        <v>46182</v>
      </c>
      <c r="C144" s="41" t="s">
        <v>85</v>
      </c>
      <c r="D144" s="45" t="s">
        <v>86</v>
      </c>
      <c r="E144" s="45">
        <v>31544</v>
      </c>
      <c r="F144" s="45">
        <v>6</v>
      </c>
      <c r="G144" s="191">
        <v>20568502443</v>
      </c>
      <c r="H144" s="54" t="s">
        <v>216</v>
      </c>
      <c r="I144" s="42"/>
      <c r="J144" s="43"/>
      <c r="K144" s="43">
        <f t="shared" si="5"/>
        <v>33.1</v>
      </c>
      <c r="L144" s="43"/>
      <c r="M144" s="43"/>
      <c r="N144" s="43"/>
      <c r="O144" s="43"/>
      <c r="P144" s="46">
        <v>33.1</v>
      </c>
      <c r="Q144" s="47"/>
      <c r="R144" s="40"/>
      <c r="S144" s="42"/>
      <c r="T144" s="41"/>
      <c r="U144" s="41"/>
      <c r="V144" s="48" t="s">
        <v>453</v>
      </c>
      <c r="W144" s="43"/>
      <c r="X144" s="44">
        <v>46182</v>
      </c>
      <c r="Y144" s="41" t="s">
        <v>454</v>
      </c>
      <c r="Z144" s="41"/>
      <c r="AA144" s="41"/>
      <c r="AB144" s="41" t="s">
        <v>937</v>
      </c>
      <c r="AC144" s="49"/>
      <c r="AD144" s="49">
        <v>1212</v>
      </c>
      <c r="AE144" s="50"/>
      <c r="AF144" s="51"/>
      <c r="AG144" s="51"/>
      <c r="AH144" s="52"/>
      <c r="AI144" s="52"/>
      <c r="AJ144" s="53"/>
      <c r="AK144" s="52"/>
      <c r="AL144" s="43">
        <v>18</v>
      </c>
      <c r="AM144" s="168" t="s">
        <v>938</v>
      </c>
      <c r="AN144" s="36"/>
      <c r="AO144" s="36"/>
      <c r="AP144" s="37"/>
    </row>
    <row r="145" spans="1:42" s="38" customFormat="1" ht="18.75" customHeight="1" x14ac:dyDescent="0.25">
      <c r="A145" s="44">
        <v>46182</v>
      </c>
      <c r="B145" s="40">
        <f t="shared" si="4"/>
        <v>46182</v>
      </c>
      <c r="C145" s="41" t="s">
        <v>85</v>
      </c>
      <c r="D145" s="45" t="s">
        <v>86</v>
      </c>
      <c r="E145" s="45">
        <v>31545</v>
      </c>
      <c r="F145" s="45">
        <v>1</v>
      </c>
      <c r="G145" s="191">
        <v>19916301</v>
      </c>
      <c r="H145" s="54" t="s">
        <v>217</v>
      </c>
      <c r="I145" s="42"/>
      <c r="J145" s="43"/>
      <c r="K145" s="43">
        <f t="shared" si="5"/>
        <v>100</v>
      </c>
      <c r="L145" s="43"/>
      <c r="M145" s="43"/>
      <c r="N145" s="43"/>
      <c r="O145" s="43"/>
      <c r="P145" s="46">
        <v>100</v>
      </c>
      <c r="Q145" s="47"/>
      <c r="R145" s="40"/>
      <c r="S145" s="42"/>
      <c r="T145" s="41"/>
      <c r="U145" s="41"/>
      <c r="V145" s="48" t="s">
        <v>453</v>
      </c>
      <c r="W145" s="43"/>
      <c r="X145" s="44">
        <v>46182</v>
      </c>
      <c r="Y145" s="41" t="s">
        <v>454</v>
      </c>
      <c r="Z145" s="41"/>
      <c r="AA145" s="41"/>
      <c r="AB145" s="41" t="s">
        <v>937</v>
      </c>
      <c r="AC145" s="49"/>
      <c r="AD145" s="49">
        <v>1212</v>
      </c>
      <c r="AE145" s="50"/>
      <c r="AF145" s="51"/>
      <c r="AG145" s="51"/>
      <c r="AH145" s="52"/>
      <c r="AI145" s="52"/>
      <c r="AJ145" s="53"/>
      <c r="AK145" s="52"/>
      <c r="AL145" s="43">
        <v>18</v>
      </c>
      <c r="AM145" s="168" t="s">
        <v>938</v>
      </c>
      <c r="AN145" s="36"/>
      <c r="AO145" s="36"/>
      <c r="AP145" s="37"/>
    </row>
    <row r="146" spans="1:42" s="38" customFormat="1" ht="18.75" customHeight="1" x14ac:dyDescent="0.25">
      <c r="A146" s="44">
        <v>46182</v>
      </c>
      <c r="B146" s="40">
        <f t="shared" si="4"/>
        <v>46182</v>
      </c>
      <c r="C146" s="41" t="s">
        <v>85</v>
      </c>
      <c r="D146" s="45" t="s">
        <v>86</v>
      </c>
      <c r="E146" s="45">
        <v>31546</v>
      </c>
      <c r="F146" s="45">
        <v>1</v>
      </c>
      <c r="G146" s="191">
        <v>48211183</v>
      </c>
      <c r="H146" s="54" t="s">
        <v>218</v>
      </c>
      <c r="I146" s="42"/>
      <c r="J146" s="43"/>
      <c r="K146" s="43">
        <f t="shared" si="5"/>
        <v>5</v>
      </c>
      <c r="L146" s="43"/>
      <c r="M146" s="43"/>
      <c r="N146" s="43"/>
      <c r="O146" s="43"/>
      <c r="P146" s="46">
        <v>5</v>
      </c>
      <c r="Q146" s="47"/>
      <c r="R146" s="40"/>
      <c r="S146" s="42"/>
      <c r="T146" s="41"/>
      <c r="U146" s="41"/>
      <c r="V146" s="48" t="s">
        <v>453</v>
      </c>
      <c r="W146" s="43"/>
      <c r="X146" s="44">
        <v>46182</v>
      </c>
      <c r="Y146" s="41" t="s">
        <v>454</v>
      </c>
      <c r="Z146" s="41"/>
      <c r="AA146" s="41"/>
      <c r="AB146" s="41" t="s">
        <v>937</v>
      </c>
      <c r="AC146" s="49"/>
      <c r="AD146" s="49">
        <v>1212</v>
      </c>
      <c r="AE146" s="50"/>
      <c r="AF146" s="51"/>
      <c r="AG146" s="51"/>
      <c r="AH146" s="52"/>
      <c r="AI146" s="52"/>
      <c r="AJ146" s="53"/>
      <c r="AK146" s="52"/>
      <c r="AL146" s="43">
        <v>18</v>
      </c>
      <c r="AM146" s="168" t="s">
        <v>938</v>
      </c>
      <c r="AN146" s="36"/>
      <c r="AO146" s="36"/>
      <c r="AP146" s="37"/>
    </row>
    <row r="147" spans="1:42" s="38" customFormat="1" ht="18.75" customHeight="1" x14ac:dyDescent="0.25">
      <c r="A147" s="44">
        <v>46182</v>
      </c>
      <c r="B147" s="40">
        <f t="shared" si="4"/>
        <v>46182</v>
      </c>
      <c r="C147" s="41" t="s">
        <v>85</v>
      </c>
      <c r="D147" s="45" t="s">
        <v>86</v>
      </c>
      <c r="E147" s="45">
        <v>31547</v>
      </c>
      <c r="F147" s="45">
        <v>1</v>
      </c>
      <c r="G147" s="191">
        <v>73610066</v>
      </c>
      <c r="H147" s="54" t="s">
        <v>219</v>
      </c>
      <c r="I147" s="42"/>
      <c r="J147" s="43"/>
      <c r="K147" s="43">
        <f t="shared" si="5"/>
        <v>5</v>
      </c>
      <c r="L147" s="43"/>
      <c r="M147" s="43"/>
      <c r="N147" s="43"/>
      <c r="O147" s="43"/>
      <c r="P147" s="46">
        <v>5</v>
      </c>
      <c r="Q147" s="47"/>
      <c r="R147" s="40"/>
      <c r="S147" s="42"/>
      <c r="T147" s="41"/>
      <c r="U147" s="41"/>
      <c r="V147" s="48" t="s">
        <v>453</v>
      </c>
      <c r="W147" s="43"/>
      <c r="X147" s="44">
        <v>46182</v>
      </c>
      <c r="Y147" s="41" t="s">
        <v>454</v>
      </c>
      <c r="Z147" s="41"/>
      <c r="AA147" s="41"/>
      <c r="AB147" s="41" t="s">
        <v>937</v>
      </c>
      <c r="AC147" s="49"/>
      <c r="AD147" s="49">
        <v>1212</v>
      </c>
      <c r="AE147" s="50"/>
      <c r="AF147" s="51"/>
      <c r="AG147" s="51"/>
      <c r="AH147" s="52"/>
      <c r="AI147" s="52"/>
      <c r="AJ147" s="53"/>
      <c r="AK147" s="52"/>
      <c r="AL147" s="43">
        <v>18</v>
      </c>
      <c r="AM147" s="168" t="s">
        <v>938</v>
      </c>
      <c r="AN147" s="36"/>
      <c r="AO147" s="36"/>
      <c r="AP147" s="37"/>
    </row>
    <row r="148" spans="1:42" s="38" customFormat="1" ht="18.75" customHeight="1" x14ac:dyDescent="0.25">
      <c r="A148" s="44">
        <v>46182</v>
      </c>
      <c r="B148" s="40">
        <f t="shared" si="4"/>
        <v>46182</v>
      </c>
      <c r="C148" s="41" t="s">
        <v>85</v>
      </c>
      <c r="D148" s="45" t="s">
        <v>86</v>
      </c>
      <c r="E148" s="45">
        <v>31548</v>
      </c>
      <c r="F148" s="45">
        <v>1</v>
      </c>
      <c r="G148" s="191">
        <v>19969361</v>
      </c>
      <c r="H148" s="54" t="s">
        <v>220</v>
      </c>
      <c r="I148" s="42"/>
      <c r="J148" s="43"/>
      <c r="K148" s="43">
        <f t="shared" si="5"/>
        <v>7.5</v>
      </c>
      <c r="L148" s="43"/>
      <c r="M148" s="43"/>
      <c r="N148" s="43"/>
      <c r="O148" s="43"/>
      <c r="P148" s="46">
        <v>7.5</v>
      </c>
      <c r="Q148" s="47"/>
      <c r="R148" s="40"/>
      <c r="S148" s="42"/>
      <c r="T148" s="41"/>
      <c r="U148" s="41"/>
      <c r="V148" s="48" t="s">
        <v>453</v>
      </c>
      <c r="W148" s="43"/>
      <c r="X148" s="44">
        <v>46182</v>
      </c>
      <c r="Y148" s="41" t="s">
        <v>454</v>
      </c>
      <c r="Z148" s="41"/>
      <c r="AA148" s="41"/>
      <c r="AB148" s="41" t="s">
        <v>937</v>
      </c>
      <c r="AC148" s="49"/>
      <c r="AD148" s="49">
        <v>1212</v>
      </c>
      <c r="AE148" s="50"/>
      <c r="AF148" s="51"/>
      <c r="AG148" s="51"/>
      <c r="AH148" s="52"/>
      <c r="AI148" s="52"/>
      <c r="AJ148" s="53"/>
      <c r="AK148" s="52"/>
      <c r="AL148" s="43">
        <v>18</v>
      </c>
      <c r="AM148" s="168" t="s">
        <v>938</v>
      </c>
      <c r="AN148" s="36"/>
      <c r="AO148" s="36"/>
      <c r="AP148" s="37"/>
    </row>
    <row r="149" spans="1:42" s="38" customFormat="1" ht="18.75" customHeight="1" x14ac:dyDescent="0.25">
      <c r="A149" s="44">
        <v>46182</v>
      </c>
      <c r="B149" s="40">
        <f t="shared" si="4"/>
        <v>46182</v>
      </c>
      <c r="C149" s="41" t="s">
        <v>85</v>
      </c>
      <c r="D149" s="45" t="s">
        <v>86</v>
      </c>
      <c r="E149" s="45">
        <v>31549</v>
      </c>
      <c r="F149" s="45">
        <v>1</v>
      </c>
      <c r="G149" s="191">
        <v>42049798</v>
      </c>
      <c r="H149" s="54" t="s">
        <v>221</v>
      </c>
      <c r="I149" s="42"/>
      <c r="J149" s="43"/>
      <c r="K149" s="43">
        <f t="shared" si="5"/>
        <v>5</v>
      </c>
      <c r="L149" s="43"/>
      <c r="M149" s="43"/>
      <c r="N149" s="43"/>
      <c r="O149" s="43"/>
      <c r="P149" s="46">
        <v>5</v>
      </c>
      <c r="Q149" s="47"/>
      <c r="R149" s="40"/>
      <c r="S149" s="42"/>
      <c r="T149" s="41"/>
      <c r="U149" s="41"/>
      <c r="V149" s="48" t="s">
        <v>453</v>
      </c>
      <c r="W149" s="43"/>
      <c r="X149" s="44">
        <v>46182</v>
      </c>
      <c r="Y149" s="41" t="s">
        <v>454</v>
      </c>
      <c r="Z149" s="41"/>
      <c r="AA149" s="41"/>
      <c r="AB149" s="41" t="s">
        <v>937</v>
      </c>
      <c r="AC149" s="49"/>
      <c r="AD149" s="49">
        <v>1212</v>
      </c>
      <c r="AE149" s="50"/>
      <c r="AF149" s="51"/>
      <c r="AG149" s="51"/>
      <c r="AH149" s="52"/>
      <c r="AI149" s="52"/>
      <c r="AJ149" s="53"/>
      <c r="AK149" s="52"/>
      <c r="AL149" s="43">
        <v>18</v>
      </c>
      <c r="AM149" s="168" t="s">
        <v>938</v>
      </c>
      <c r="AN149" s="36"/>
      <c r="AO149" s="36"/>
      <c r="AP149" s="37"/>
    </row>
    <row r="150" spans="1:42" s="38" customFormat="1" ht="18.75" customHeight="1" x14ac:dyDescent="0.25">
      <c r="A150" s="44">
        <v>46182</v>
      </c>
      <c r="B150" s="40">
        <f t="shared" si="4"/>
        <v>46182</v>
      </c>
      <c r="C150" s="41" t="s">
        <v>85</v>
      </c>
      <c r="D150" s="45" t="s">
        <v>86</v>
      </c>
      <c r="E150" s="45">
        <v>31550</v>
      </c>
      <c r="F150" s="45">
        <v>1</v>
      </c>
      <c r="G150" s="191">
        <v>19988801</v>
      </c>
      <c r="H150" s="54" t="s">
        <v>103</v>
      </c>
      <c r="I150" s="42"/>
      <c r="J150" s="43"/>
      <c r="K150" s="43">
        <f t="shared" si="5"/>
        <v>10</v>
      </c>
      <c r="L150" s="43"/>
      <c r="M150" s="43"/>
      <c r="N150" s="43"/>
      <c r="O150" s="43"/>
      <c r="P150" s="46">
        <v>10</v>
      </c>
      <c r="Q150" s="47"/>
      <c r="R150" s="40"/>
      <c r="S150" s="42"/>
      <c r="T150" s="41"/>
      <c r="U150" s="41"/>
      <c r="V150" s="48" t="s">
        <v>453</v>
      </c>
      <c r="W150" s="43"/>
      <c r="X150" s="44">
        <v>46182</v>
      </c>
      <c r="Y150" s="41" t="s">
        <v>454</v>
      </c>
      <c r="Z150" s="41"/>
      <c r="AA150" s="41"/>
      <c r="AB150" s="41" t="s">
        <v>937</v>
      </c>
      <c r="AC150" s="49"/>
      <c r="AD150" s="49">
        <v>1212</v>
      </c>
      <c r="AE150" s="50"/>
      <c r="AF150" s="51"/>
      <c r="AG150" s="51"/>
      <c r="AH150" s="52"/>
      <c r="AI150" s="52"/>
      <c r="AJ150" s="53"/>
      <c r="AK150" s="52"/>
      <c r="AL150" s="43">
        <v>18</v>
      </c>
      <c r="AM150" s="168" t="s">
        <v>938</v>
      </c>
      <c r="AN150" s="36"/>
      <c r="AO150" s="36"/>
      <c r="AP150" s="37"/>
    </row>
    <row r="151" spans="1:42" s="38" customFormat="1" ht="18.75" customHeight="1" x14ac:dyDescent="0.25">
      <c r="A151" s="44">
        <v>46182</v>
      </c>
      <c r="B151" s="40">
        <f t="shared" si="4"/>
        <v>46182</v>
      </c>
      <c r="C151" s="41" t="s">
        <v>85</v>
      </c>
      <c r="D151" s="45" t="s">
        <v>86</v>
      </c>
      <c r="E151" s="45">
        <v>31551</v>
      </c>
      <c r="F151" s="45">
        <v>1</v>
      </c>
      <c r="G151" s="191">
        <v>73527025</v>
      </c>
      <c r="H151" s="54" t="s">
        <v>222</v>
      </c>
      <c r="I151" s="42"/>
      <c r="J151" s="43"/>
      <c r="K151" s="43">
        <f t="shared" si="5"/>
        <v>5</v>
      </c>
      <c r="L151" s="43"/>
      <c r="M151" s="43"/>
      <c r="N151" s="43"/>
      <c r="O151" s="43"/>
      <c r="P151" s="46">
        <v>5</v>
      </c>
      <c r="Q151" s="47"/>
      <c r="R151" s="40"/>
      <c r="S151" s="42"/>
      <c r="T151" s="41"/>
      <c r="U151" s="41"/>
      <c r="V151" s="48" t="s">
        <v>453</v>
      </c>
      <c r="W151" s="43"/>
      <c r="X151" s="44">
        <v>46182</v>
      </c>
      <c r="Y151" s="41" t="s">
        <v>454</v>
      </c>
      <c r="Z151" s="41"/>
      <c r="AA151" s="41"/>
      <c r="AB151" s="41" t="s">
        <v>937</v>
      </c>
      <c r="AC151" s="49"/>
      <c r="AD151" s="49">
        <v>1212</v>
      </c>
      <c r="AE151" s="50"/>
      <c r="AF151" s="51"/>
      <c r="AG151" s="51"/>
      <c r="AH151" s="52"/>
      <c r="AI151" s="52"/>
      <c r="AJ151" s="53"/>
      <c r="AK151" s="52"/>
      <c r="AL151" s="43">
        <v>18</v>
      </c>
      <c r="AM151" s="168" t="s">
        <v>938</v>
      </c>
      <c r="AN151" s="36"/>
      <c r="AO151" s="36"/>
      <c r="AP151" s="37"/>
    </row>
    <row r="152" spans="1:42" s="38" customFormat="1" ht="18.75" customHeight="1" x14ac:dyDescent="0.25">
      <c r="A152" s="44">
        <v>46182</v>
      </c>
      <c r="B152" s="40">
        <f t="shared" si="4"/>
        <v>46182</v>
      </c>
      <c r="C152" s="41" t="s">
        <v>85</v>
      </c>
      <c r="D152" s="45" t="s">
        <v>86</v>
      </c>
      <c r="E152" s="45">
        <v>31552</v>
      </c>
      <c r="F152" s="45">
        <v>1</v>
      </c>
      <c r="G152" s="191">
        <v>45151511</v>
      </c>
      <c r="H152" s="54" t="s">
        <v>223</v>
      </c>
      <c r="I152" s="42"/>
      <c r="J152" s="43"/>
      <c r="K152" s="43">
        <f t="shared" si="5"/>
        <v>7.3</v>
      </c>
      <c r="L152" s="43"/>
      <c r="M152" s="43"/>
      <c r="N152" s="43"/>
      <c r="O152" s="43"/>
      <c r="P152" s="46">
        <v>7.3</v>
      </c>
      <c r="Q152" s="47"/>
      <c r="R152" s="40"/>
      <c r="S152" s="42"/>
      <c r="T152" s="41"/>
      <c r="U152" s="41"/>
      <c r="V152" s="48" t="s">
        <v>453</v>
      </c>
      <c r="W152" s="43"/>
      <c r="X152" s="44">
        <v>46182</v>
      </c>
      <c r="Y152" s="41" t="s">
        <v>454</v>
      </c>
      <c r="Z152" s="41"/>
      <c r="AA152" s="41"/>
      <c r="AB152" s="41" t="s">
        <v>937</v>
      </c>
      <c r="AC152" s="49"/>
      <c r="AD152" s="49">
        <v>1212</v>
      </c>
      <c r="AE152" s="50"/>
      <c r="AF152" s="51"/>
      <c r="AG152" s="51"/>
      <c r="AH152" s="52"/>
      <c r="AI152" s="52"/>
      <c r="AJ152" s="53"/>
      <c r="AK152" s="52"/>
      <c r="AL152" s="43">
        <v>18</v>
      </c>
      <c r="AM152" s="168" t="s">
        <v>938</v>
      </c>
      <c r="AN152" s="36"/>
      <c r="AO152" s="36"/>
      <c r="AP152" s="37"/>
    </row>
    <row r="153" spans="1:42" s="190" customFormat="1" ht="18.75" customHeight="1" x14ac:dyDescent="0.25">
      <c r="A153" s="172">
        <v>46182</v>
      </c>
      <c r="B153" s="173">
        <f t="shared" si="4"/>
        <v>46182</v>
      </c>
      <c r="C153" s="174" t="s">
        <v>85</v>
      </c>
      <c r="D153" s="175" t="s">
        <v>86</v>
      </c>
      <c r="E153" s="175">
        <v>31553</v>
      </c>
      <c r="F153" s="175">
        <v>1</v>
      </c>
      <c r="G153" s="192" t="s">
        <v>930</v>
      </c>
      <c r="H153" s="176" t="s">
        <v>224</v>
      </c>
      <c r="I153" s="177"/>
      <c r="J153" s="178"/>
      <c r="K153" s="178">
        <f t="shared" si="5"/>
        <v>6.5</v>
      </c>
      <c r="L153" s="178"/>
      <c r="M153" s="178"/>
      <c r="N153" s="178"/>
      <c r="O153" s="178"/>
      <c r="P153" s="179">
        <v>6.5</v>
      </c>
      <c r="Q153" s="180"/>
      <c r="R153" s="173"/>
      <c r="S153" s="177"/>
      <c r="T153" s="174"/>
      <c r="U153" s="174"/>
      <c r="V153" s="181" t="s">
        <v>453</v>
      </c>
      <c r="W153" s="178"/>
      <c r="X153" s="172">
        <v>46182</v>
      </c>
      <c r="Y153" s="174" t="s">
        <v>454</v>
      </c>
      <c r="Z153" s="174"/>
      <c r="AA153" s="174"/>
      <c r="AB153" s="174" t="s">
        <v>937</v>
      </c>
      <c r="AC153" s="182"/>
      <c r="AD153" s="182">
        <v>1212</v>
      </c>
      <c r="AE153" s="183"/>
      <c r="AF153" s="184"/>
      <c r="AG153" s="184"/>
      <c r="AH153" s="185"/>
      <c r="AI153" s="185"/>
      <c r="AJ153" s="186"/>
      <c r="AK153" s="185"/>
      <c r="AL153" s="178">
        <v>18</v>
      </c>
      <c r="AM153" s="187" t="s">
        <v>938</v>
      </c>
      <c r="AN153" s="188"/>
      <c r="AO153" s="188"/>
      <c r="AP153" s="189"/>
    </row>
    <row r="154" spans="1:42" s="38" customFormat="1" ht="18.75" customHeight="1" x14ac:dyDescent="0.25">
      <c r="A154" s="44">
        <v>46182</v>
      </c>
      <c r="B154" s="40">
        <f t="shared" si="4"/>
        <v>46182</v>
      </c>
      <c r="C154" s="41" t="s">
        <v>85</v>
      </c>
      <c r="D154" s="45" t="s">
        <v>86</v>
      </c>
      <c r="E154" s="45">
        <v>31554</v>
      </c>
      <c r="F154" s="45">
        <v>1</v>
      </c>
      <c r="G154" s="191">
        <v>40365353</v>
      </c>
      <c r="H154" s="54" t="s">
        <v>225</v>
      </c>
      <c r="I154" s="42"/>
      <c r="J154" s="43"/>
      <c r="K154" s="43">
        <f t="shared" si="5"/>
        <v>10</v>
      </c>
      <c r="L154" s="43"/>
      <c r="M154" s="43"/>
      <c r="N154" s="43"/>
      <c r="O154" s="43"/>
      <c r="P154" s="46">
        <v>10</v>
      </c>
      <c r="Q154" s="47"/>
      <c r="R154" s="40"/>
      <c r="S154" s="42"/>
      <c r="T154" s="41"/>
      <c r="U154" s="41"/>
      <c r="V154" s="48" t="s">
        <v>453</v>
      </c>
      <c r="W154" s="43"/>
      <c r="X154" s="44">
        <v>46182</v>
      </c>
      <c r="Y154" s="41" t="s">
        <v>454</v>
      </c>
      <c r="Z154" s="41"/>
      <c r="AA154" s="41"/>
      <c r="AB154" s="41" t="s">
        <v>937</v>
      </c>
      <c r="AC154" s="49"/>
      <c r="AD154" s="49">
        <v>1212</v>
      </c>
      <c r="AE154" s="50"/>
      <c r="AF154" s="51"/>
      <c r="AG154" s="51"/>
      <c r="AH154" s="52"/>
      <c r="AI154" s="52"/>
      <c r="AJ154" s="53"/>
      <c r="AK154" s="52"/>
      <c r="AL154" s="43">
        <v>18</v>
      </c>
      <c r="AM154" s="168" t="s">
        <v>938</v>
      </c>
      <c r="AN154" s="36"/>
      <c r="AO154" s="36"/>
      <c r="AP154" s="37"/>
    </row>
    <row r="155" spans="1:42" s="38" customFormat="1" ht="18.75" customHeight="1" x14ac:dyDescent="0.25">
      <c r="A155" s="44">
        <v>46182</v>
      </c>
      <c r="B155" s="40">
        <f t="shared" si="4"/>
        <v>46182</v>
      </c>
      <c r="C155" s="41" t="s">
        <v>85</v>
      </c>
      <c r="D155" s="45" t="s">
        <v>86</v>
      </c>
      <c r="E155" s="45">
        <v>31555</v>
      </c>
      <c r="F155" s="45">
        <v>1</v>
      </c>
      <c r="G155" s="191">
        <v>40365353</v>
      </c>
      <c r="H155" s="54" t="s">
        <v>225</v>
      </c>
      <c r="I155" s="42"/>
      <c r="J155" s="43"/>
      <c r="K155" s="43">
        <f t="shared" si="5"/>
        <v>14.7</v>
      </c>
      <c r="L155" s="43"/>
      <c r="M155" s="43"/>
      <c r="N155" s="43"/>
      <c r="O155" s="43"/>
      <c r="P155" s="46">
        <v>14.7</v>
      </c>
      <c r="Q155" s="47"/>
      <c r="R155" s="40"/>
      <c r="S155" s="42"/>
      <c r="T155" s="41"/>
      <c r="U155" s="41"/>
      <c r="V155" s="48" t="s">
        <v>453</v>
      </c>
      <c r="W155" s="43"/>
      <c r="X155" s="44">
        <v>46182</v>
      </c>
      <c r="Y155" s="41" t="s">
        <v>454</v>
      </c>
      <c r="Z155" s="41"/>
      <c r="AA155" s="41"/>
      <c r="AB155" s="41" t="s">
        <v>937</v>
      </c>
      <c r="AC155" s="49"/>
      <c r="AD155" s="49">
        <v>1212</v>
      </c>
      <c r="AE155" s="50"/>
      <c r="AF155" s="51"/>
      <c r="AG155" s="51"/>
      <c r="AH155" s="52"/>
      <c r="AI155" s="52"/>
      <c r="AJ155" s="53"/>
      <c r="AK155" s="52"/>
      <c r="AL155" s="43">
        <v>18</v>
      </c>
      <c r="AM155" s="168" t="s">
        <v>938</v>
      </c>
      <c r="AN155" s="36"/>
      <c r="AO155" s="36"/>
      <c r="AP155" s="37"/>
    </row>
    <row r="156" spans="1:42" s="38" customFormat="1" ht="18.75" customHeight="1" x14ac:dyDescent="0.25">
      <c r="A156" s="44">
        <v>46182</v>
      </c>
      <c r="B156" s="40">
        <f t="shared" si="4"/>
        <v>46182</v>
      </c>
      <c r="C156" s="41" t="s">
        <v>85</v>
      </c>
      <c r="D156" s="45" t="s">
        <v>86</v>
      </c>
      <c r="E156" s="45">
        <v>31556</v>
      </c>
      <c r="F156" s="45">
        <v>1</v>
      </c>
      <c r="G156" s="191">
        <v>19863020</v>
      </c>
      <c r="H156" s="54" t="s">
        <v>226</v>
      </c>
      <c r="I156" s="42"/>
      <c r="J156" s="43"/>
      <c r="K156" s="43">
        <f t="shared" si="5"/>
        <v>100</v>
      </c>
      <c r="L156" s="43"/>
      <c r="M156" s="43"/>
      <c r="N156" s="43"/>
      <c r="O156" s="43"/>
      <c r="P156" s="46">
        <v>100</v>
      </c>
      <c r="Q156" s="47"/>
      <c r="R156" s="40"/>
      <c r="S156" s="42"/>
      <c r="T156" s="41"/>
      <c r="U156" s="41"/>
      <c r="V156" s="48" t="s">
        <v>453</v>
      </c>
      <c r="W156" s="43"/>
      <c r="X156" s="44">
        <v>46182</v>
      </c>
      <c r="Y156" s="41" t="s">
        <v>454</v>
      </c>
      <c r="Z156" s="41"/>
      <c r="AA156" s="41"/>
      <c r="AB156" s="41" t="s">
        <v>937</v>
      </c>
      <c r="AC156" s="49"/>
      <c r="AD156" s="49">
        <v>1212</v>
      </c>
      <c r="AE156" s="50"/>
      <c r="AF156" s="51"/>
      <c r="AG156" s="51"/>
      <c r="AH156" s="52"/>
      <c r="AI156" s="52"/>
      <c r="AJ156" s="53"/>
      <c r="AK156" s="52"/>
      <c r="AL156" s="43">
        <v>18</v>
      </c>
      <c r="AM156" s="168" t="s">
        <v>938</v>
      </c>
      <c r="AN156" s="36"/>
      <c r="AO156" s="36"/>
      <c r="AP156" s="37"/>
    </row>
    <row r="157" spans="1:42" s="38" customFormat="1" ht="18.75" customHeight="1" x14ac:dyDescent="0.25">
      <c r="A157" s="44">
        <v>46183</v>
      </c>
      <c r="B157" s="40">
        <f t="shared" si="4"/>
        <v>46183</v>
      </c>
      <c r="C157" s="41" t="s">
        <v>85</v>
      </c>
      <c r="D157" s="45" t="s">
        <v>86</v>
      </c>
      <c r="E157" s="45">
        <v>31557</v>
      </c>
      <c r="F157" s="45">
        <v>6</v>
      </c>
      <c r="G157" s="191">
        <v>20612763942</v>
      </c>
      <c r="H157" s="54" t="s">
        <v>227</v>
      </c>
      <c r="I157" s="42"/>
      <c r="J157" s="43"/>
      <c r="K157" s="43">
        <f t="shared" si="5"/>
        <v>20.5</v>
      </c>
      <c r="L157" s="43"/>
      <c r="M157" s="43"/>
      <c r="N157" s="43"/>
      <c r="O157" s="43"/>
      <c r="P157" s="46">
        <v>20.5</v>
      </c>
      <c r="Q157" s="47"/>
      <c r="R157" s="40"/>
      <c r="S157" s="42"/>
      <c r="T157" s="41"/>
      <c r="U157" s="41"/>
      <c r="V157" s="48" t="s">
        <v>453</v>
      </c>
      <c r="W157" s="43"/>
      <c r="X157" s="44">
        <v>46183</v>
      </c>
      <c r="Y157" s="41" t="s">
        <v>454</v>
      </c>
      <c r="Z157" s="41"/>
      <c r="AA157" s="41"/>
      <c r="AB157" s="41" t="s">
        <v>937</v>
      </c>
      <c r="AC157" s="49"/>
      <c r="AD157" s="49">
        <v>1212</v>
      </c>
      <c r="AE157" s="50"/>
      <c r="AF157" s="51"/>
      <c r="AG157" s="51"/>
      <c r="AH157" s="52"/>
      <c r="AI157" s="52"/>
      <c r="AJ157" s="53"/>
      <c r="AK157" s="52"/>
      <c r="AL157" s="43">
        <v>18</v>
      </c>
      <c r="AM157" s="168" t="s">
        <v>938</v>
      </c>
      <c r="AN157" s="36"/>
      <c r="AO157" s="36"/>
      <c r="AP157" s="37"/>
    </row>
    <row r="158" spans="1:42" s="38" customFormat="1" ht="18.75" customHeight="1" x14ac:dyDescent="0.25">
      <c r="A158" s="44">
        <v>46183</v>
      </c>
      <c r="B158" s="40">
        <f t="shared" si="4"/>
        <v>46183</v>
      </c>
      <c r="C158" s="41" t="s">
        <v>85</v>
      </c>
      <c r="D158" s="45" t="s">
        <v>86</v>
      </c>
      <c r="E158" s="45">
        <v>31558</v>
      </c>
      <c r="F158" s="45">
        <v>1</v>
      </c>
      <c r="G158" s="191">
        <v>48093616</v>
      </c>
      <c r="H158" s="54" t="s">
        <v>228</v>
      </c>
      <c r="I158" s="42"/>
      <c r="J158" s="43"/>
      <c r="K158" s="43">
        <f t="shared" si="5"/>
        <v>155</v>
      </c>
      <c r="L158" s="43"/>
      <c r="M158" s="43"/>
      <c r="N158" s="43"/>
      <c r="O158" s="43"/>
      <c r="P158" s="46">
        <v>155</v>
      </c>
      <c r="Q158" s="47"/>
      <c r="R158" s="40"/>
      <c r="S158" s="42"/>
      <c r="T158" s="41"/>
      <c r="U158" s="41"/>
      <c r="V158" s="48" t="s">
        <v>453</v>
      </c>
      <c r="W158" s="43"/>
      <c r="X158" s="44">
        <v>46183</v>
      </c>
      <c r="Y158" s="41" t="s">
        <v>454</v>
      </c>
      <c r="Z158" s="41"/>
      <c r="AA158" s="41"/>
      <c r="AB158" s="41" t="s">
        <v>937</v>
      </c>
      <c r="AC158" s="49"/>
      <c r="AD158" s="49">
        <v>1212</v>
      </c>
      <c r="AE158" s="50"/>
      <c r="AF158" s="51"/>
      <c r="AG158" s="51"/>
      <c r="AH158" s="52"/>
      <c r="AI158" s="52"/>
      <c r="AJ158" s="53"/>
      <c r="AK158" s="52"/>
      <c r="AL158" s="43">
        <v>18</v>
      </c>
      <c r="AM158" s="168" t="s">
        <v>938</v>
      </c>
      <c r="AN158" s="36"/>
      <c r="AO158" s="36"/>
      <c r="AP158" s="37"/>
    </row>
    <row r="159" spans="1:42" s="38" customFormat="1" ht="18.75" customHeight="1" x14ac:dyDescent="0.25">
      <c r="A159" s="44">
        <v>46183</v>
      </c>
      <c r="B159" s="40">
        <f t="shared" si="4"/>
        <v>46183</v>
      </c>
      <c r="C159" s="41" t="s">
        <v>85</v>
      </c>
      <c r="D159" s="45" t="s">
        <v>86</v>
      </c>
      <c r="E159" s="45">
        <v>31559</v>
      </c>
      <c r="F159" s="45">
        <v>1</v>
      </c>
      <c r="G159" s="191">
        <v>43733683</v>
      </c>
      <c r="H159" s="54" t="s">
        <v>229</v>
      </c>
      <c r="I159" s="42"/>
      <c r="J159" s="43"/>
      <c r="K159" s="43">
        <f t="shared" si="5"/>
        <v>125</v>
      </c>
      <c r="L159" s="43"/>
      <c r="M159" s="43"/>
      <c r="N159" s="43"/>
      <c r="O159" s="43"/>
      <c r="P159" s="46">
        <v>125</v>
      </c>
      <c r="Q159" s="47"/>
      <c r="R159" s="40"/>
      <c r="S159" s="42"/>
      <c r="T159" s="41"/>
      <c r="U159" s="41"/>
      <c r="V159" s="48" t="s">
        <v>453</v>
      </c>
      <c r="W159" s="43"/>
      <c r="X159" s="44">
        <v>46183</v>
      </c>
      <c r="Y159" s="41" t="s">
        <v>454</v>
      </c>
      <c r="Z159" s="41"/>
      <c r="AA159" s="41"/>
      <c r="AB159" s="41" t="s">
        <v>937</v>
      </c>
      <c r="AC159" s="49"/>
      <c r="AD159" s="49">
        <v>1212</v>
      </c>
      <c r="AE159" s="50"/>
      <c r="AF159" s="51"/>
      <c r="AG159" s="51"/>
      <c r="AH159" s="52"/>
      <c r="AI159" s="52"/>
      <c r="AJ159" s="53"/>
      <c r="AK159" s="52"/>
      <c r="AL159" s="43">
        <v>18</v>
      </c>
      <c r="AM159" s="168" t="s">
        <v>938</v>
      </c>
      <c r="AN159" s="36"/>
      <c r="AO159" s="36"/>
      <c r="AP159" s="37"/>
    </row>
    <row r="160" spans="1:42" s="38" customFormat="1" ht="18.75" customHeight="1" x14ac:dyDescent="0.25">
      <c r="A160" s="44">
        <v>46183</v>
      </c>
      <c r="B160" s="40">
        <f t="shared" si="4"/>
        <v>46183</v>
      </c>
      <c r="C160" s="41" t="s">
        <v>85</v>
      </c>
      <c r="D160" s="45" t="s">
        <v>86</v>
      </c>
      <c r="E160" s="45">
        <v>31560</v>
      </c>
      <c r="F160" s="45">
        <v>1</v>
      </c>
      <c r="G160" s="191">
        <v>43733683</v>
      </c>
      <c r="H160" s="54" t="s">
        <v>229</v>
      </c>
      <c r="I160" s="42"/>
      <c r="J160" s="43"/>
      <c r="K160" s="43">
        <f t="shared" si="5"/>
        <v>125</v>
      </c>
      <c r="L160" s="43"/>
      <c r="M160" s="43"/>
      <c r="N160" s="43"/>
      <c r="O160" s="43"/>
      <c r="P160" s="46">
        <v>125</v>
      </c>
      <c r="Q160" s="47"/>
      <c r="R160" s="40"/>
      <c r="S160" s="42"/>
      <c r="T160" s="41"/>
      <c r="U160" s="41"/>
      <c r="V160" s="48" t="s">
        <v>453</v>
      </c>
      <c r="W160" s="43"/>
      <c r="X160" s="44">
        <v>46183</v>
      </c>
      <c r="Y160" s="41" t="s">
        <v>454</v>
      </c>
      <c r="Z160" s="41"/>
      <c r="AA160" s="41"/>
      <c r="AB160" s="41" t="s">
        <v>937</v>
      </c>
      <c r="AC160" s="49"/>
      <c r="AD160" s="49">
        <v>1212</v>
      </c>
      <c r="AE160" s="50"/>
      <c r="AF160" s="51"/>
      <c r="AG160" s="51"/>
      <c r="AH160" s="52"/>
      <c r="AI160" s="52"/>
      <c r="AJ160" s="53"/>
      <c r="AK160" s="52"/>
      <c r="AL160" s="43">
        <v>18</v>
      </c>
      <c r="AM160" s="168" t="s">
        <v>938</v>
      </c>
      <c r="AN160" s="36"/>
      <c r="AO160" s="36"/>
      <c r="AP160" s="37"/>
    </row>
    <row r="161" spans="1:42" s="38" customFormat="1" ht="18.75" customHeight="1" x14ac:dyDescent="0.25">
      <c r="A161" s="44">
        <v>46183</v>
      </c>
      <c r="B161" s="40">
        <f t="shared" si="4"/>
        <v>46183</v>
      </c>
      <c r="C161" s="41" t="s">
        <v>85</v>
      </c>
      <c r="D161" s="45" t="s">
        <v>86</v>
      </c>
      <c r="E161" s="45">
        <v>31561</v>
      </c>
      <c r="F161" s="45">
        <v>1</v>
      </c>
      <c r="G161" s="191">
        <v>21266173</v>
      </c>
      <c r="H161" s="54" t="s">
        <v>230</v>
      </c>
      <c r="I161" s="42"/>
      <c r="J161" s="43"/>
      <c r="K161" s="43">
        <f t="shared" si="5"/>
        <v>138</v>
      </c>
      <c r="L161" s="43"/>
      <c r="M161" s="43"/>
      <c r="N161" s="43"/>
      <c r="O161" s="43"/>
      <c r="P161" s="46">
        <v>138</v>
      </c>
      <c r="Q161" s="47"/>
      <c r="R161" s="40"/>
      <c r="S161" s="42"/>
      <c r="T161" s="41"/>
      <c r="U161" s="41"/>
      <c r="V161" s="48" t="s">
        <v>453</v>
      </c>
      <c r="W161" s="43"/>
      <c r="X161" s="44">
        <v>46183</v>
      </c>
      <c r="Y161" s="41" t="s">
        <v>454</v>
      </c>
      <c r="Z161" s="41"/>
      <c r="AA161" s="41"/>
      <c r="AB161" s="41" t="s">
        <v>937</v>
      </c>
      <c r="AC161" s="49"/>
      <c r="AD161" s="49">
        <v>1212</v>
      </c>
      <c r="AE161" s="50"/>
      <c r="AF161" s="51"/>
      <c r="AG161" s="51"/>
      <c r="AH161" s="52"/>
      <c r="AI161" s="52"/>
      <c r="AJ161" s="53"/>
      <c r="AK161" s="52"/>
      <c r="AL161" s="43">
        <v>18</v>
      </c>
      <c r="AM161" s="168" t="s">
        <v>938</v>
      </c>
      <c r="AN161" s="36"/>
      <c r="AO161" s="36"/>
      <c r="AP161" s="37"/>
    </row>
    <row r="162" spans="1:42" s="38" customFormat="1" ht="18.75" customHeight="1" x14ac:dyDescent="0.25">
      <c r="A162" s="44">
        <v>46183</v>
      </c>
      <c r="B162" s="40">
        <f t="shared" si="4"/>
        <v>46183</v>
      </c>
      <c r="C162" s="41" t="s">
        <v>85</v>
      </c>
      <c r="D162" s="45" t="s">
        <v>86</v>
      </c>
      <c r="E162" s="45">
        <v>31562</v>
      </c>
      <c r="F162" s="45">
        <v>6</v>
      </c>
      <c r="G162" s="191">
        <v>20486709970</v>
      </c>
      <c r="H162" s="54" t="s">
        <v>231</v>
      </c>
      <c r="I162" s="42"/>
      <c r="J162" s="43"/>
      <c r="K162" s="43">
        <f t="shared" si="5"/>
        <v>75</v>
      </c>
      <c r="L162" s="43"/>
      <c r="M162" s="43"/>
      <c r="N162" s="43"/>
      <c r="O162" s="43"/>
      <c r="P162" s="46">
        <v>75</v>
      </c>
      <c r="Q162" s="47"/>
      <c r="R162" s="40"/>
      <c r="S162" s="42"/>
      <c r="T162" s="41"/>
      <c r="U162" s="41"/>
      <c r="V162" s="48" t="s">
        <v>453</v>
      </c>
      <c r="W162" s="43"/>
      <c r="X162" s="44">
        <v>46183</v>
      </c>
      <c r="Y162" s="41" t="s">
        <v>454</v>
      </c>
      <c r="Z162" s="41"/>
      <c r="AA162" s="41"/>
      <c r="AB162" s="41" t="s">
        <v>937</v>
      </c>
      <c r="AC162" s="49"/>
      <c r="AD162" s="49">
        <v>1212</v>
      </c>
      <c r="AE162" s="50"/>
      <c r="AF162" s="51"/>
      <c r="AG162" s="51"/>
      <c r="AH162" s="52"/>
      <c r="AI162" s="52"/>
      <c r="AJ162" s="53"/>
      <c r="AK162" s="52"/>
      <c r="AL162" s="43">
        <v>18</v>
      </c>
      <c r="AM162" s="168" t="s">
        <v>938</v>
      </c>
      <c r="AN162" s="36"/>
      <c r="AO162" s="36"/>
      <c r="AP162" s="37"/>
    </row>
    <row r="163" spans="1:42" s="38" customFormat="1" ht="18.75" customHeight="1" x14ac:dyDescent="0.25">
      <c r="A163" s="44">
        <v>46183</v>
      </c>
      <c r="B163" s="40">
        <f t="shared" si="4"/>
        <v>46183</v>
      </c>
      <c r="C163" s="41" t="s">
        <v>85</v>
      </c>
      <c r="D163" s="45" t="s">
        <v>86</v>
      </c>
      <c r="E163" s="45">
        <v>31563</v>
      </c>
      <c r="F163" s="45">
        <v>1</v>
      </c>
      <c r="G163" s="191">
        <v>47908795</v>
      </c>
      <c r="H163" s="54" t="s">
        <v>232</v>
      </c>
      <c r="I163" s="42"/>
      <c r="J163" s="43"/>
      <c r="K163" s="43">
        <f t="shared" si="5"/>
        <v>43.7</v>
      </c>
      <c r="L163" s="43"/>
      <c r="M163" s="43"/>
      <c r="N163" s="43"/>
      <c r="O163" s="43"/>
      <c r="P163" s="46">
        <v>43.7</v>
      </c>
      <c r="Q163" s="47"/>
      <c r="R163" s="40"/>
      <c r="S163" s="42"/>
      <c r="T163" s="41"/>
      <c r="U163" s="41"/>
      <c r="V163" s="48" t="s">
        <v>453</v>
      </c>
      <c r="W163" s="43"/>
      <c r="X163" s="44">
        <v>46183</v>
      </c>
      <c r="Y163" s="41" t="s">
        <v>454</v>
      </c>
      <c r="Z163" s="41"/>
      <c r="AA163" s="41"/>
      <c r="AB163" s="41" t="s">
        <v>937</v>
      </c>
      <c r="AC163" s="49"/>
      <c r="AD163" s="49">
        <v>1212</v>
      </c>
      <c r="AE163" s="50"/>
      <c r="AF163" s="51"/>
      <c r="AG163" s="51"/>
      <c r="AH163" s="52"/>
      <c r="AI163" s="52"/>
      <c r="AJ163" s="53"/>
      <c r="AK163" s="52"/>
      <c r="AL163" s="43">
        <v>18</v>
      </c>
      <c r="AM163" s="168" t="s">
        <v>938</v>
      </c>
      <c r="AN163" s="36"/>
      <c r="AO163" s="36"/>
      <c r="AP163" s="37"/>
    </row>
    <row r="164" spans="1:42" s="38" customFormat="1" ht="18.75" customHeight="1" x14ac:dyDescent="0.25">
      <c r="A164" s="44">
        <v>46183</v>
      </c>
      <c r="B164" s="40">
        <f t="shared" si="4"/>
        <v>46183</v>
      </c>
      <c r="C164" s="41" t="s">
        <v>85</v>
      </c>
      <c r="D164" s="45" t="s">
        <v>86</v>
      </c>
      <c r="E164" s="45">
        <v>31564</v>
      </c>
      <c r="F164" s="45">
        <v>6</v>
      </c>
      <c r="G164" s="191">
        <v>20518164717</v>
      </c>
      <c r="H164" s="54" t="s">
        <v>118</v>
      </c>
      <c r="I164" s="42"/>
      <c r="J164" s="43"/>
      <c r="K164" s="43">
        <f t="shared" si="5"/>
        <v>15.6</v>
      </c>
      <c r="L164" s="43"/>
      <c r="M164" s="43"/>
      <c r="N164" s="43"/>
      <c r="O164" s="43"/>
      <c r="P164" s="46">
        <v>15.6</v>
      </c>
      <c r="Q164" s="47"/>
      <c r="R164" s="40"/>
      <c r="S164" s="42"/>
      <c r="T164" s="41"/>
      <c r="U164" s="41"/>
      <c r="V164" s="48" t="s">
        <v>453</v>
      </c>
      <c r="W164" s="43"/>
      <c r="X164" s="44">
        <v>46183</v>
      </c>
      <c r="Y164" s="41" t="s">
        <v>454</v>
      </c>
      <c r="Z164" s="41"/>
      <c r="AA164" s="41"/>
      <c r="AB164" s="41" t="s">
        <v>937</v>
      </c>
      <c r="AC164" s="49"/>
      <c r="AD164" s="49">
        <v>1212</v>
      </c>
      <c r="AE164" s="50"/>
      <c r="AF164" s="51"/>
      <c r="AG164" s="51"/>
      <c r="AH164" s="52"/>
      <c r="AI164" s="52"/>
      <c r="AJ164" s="53"/>
      <c r="AK164" s="52"/>
      <c r="AL164" s="43">
        <v>18</v>
      </c>
      <c r="AM164" s="168" t="s">
        <v>938</v>
      </c>
      <c r="AN164" s="36"/>
      <c r="AO164" s="36"/>
      <c r="AP164" s="37"/>
    </row>
    <row r="165" spans="1:42" s="38" customFormat="1" ht="18.75" customHeight="1" x14ac:dyDescent="0.25">
      <c r="A165" s="44">
        <v>46183</v>
      </c>
      <c r="B165" s="40">
        <f t="shared" si="4"/>
        <v>46183</v>
      </c>
      <c r="C165" s="41" t="s">
        <v>85</v>
      </c>
      <c r="D165" s="45" t="s">
        <v>86</v>
      </c>
      <c r="E165" s="45">
        <v>31565</v>
      </c>
      <c r="F165" s="45">
        <v>1</v>
      </c>
      <c r="G165" s="191">
        <v>77078474</v>
      </c>
      <c r="H165" s="54" t="s">
        <v>233</v>
      </c>
      <c r="I165" s="42"/>
      <c r="J165" s="43"/>
      <c r="K165" s="43">
        <f t="shared" si="5"/>
        <v>131.69999999999999</v>
      </c>
      <c r="L165" s="43"/>
      <c r="M165" s="43"/>
      <c r="N165" s="43"/>
      <c r="O165" s="43"/>
      <c r="P165" s="46">
        <v>131.69999999999999</v>
      </c>
      <c r="Q165" s="47"/>
      <c r="R165" s="40"/>
      <c r="S165" s="42"/>
      <c r="T165" s="41"/>
      <c r="U165" s="41"/>
      <c r="V165" s="48" t="s">
        <v>453</v>
      </c>
      <c r="W165" s="43"/>
      <c r="X165" s="44">
        <v>46183</v>
      </c>
      <c r="Y165" s="41" t="s">
        <v>454</v>
      </c>
      <c r="Z165" s="41"/>
      <c r="AA165" s="41"/>
      <c r="AB165" s="41" t="s">
        <v>937</v>
      </c>
      <c r="AC165" s="49"/>
      <c r="AD165" s="49">
        <v>1212</v>
      </c>
      <c r="AE165" s="50"/>
      <c r="AF165" s="51"/>
      <c r="AG165" s="51"/>
      <c r="AH165" s="52"/>
      <c r="AI165" s="52"/>
      <c r="AJ165" s="53"/>
      <c r="AK165" s="52"/>
      <c r="AL165" s="43">
        <v>18</v>
      </c>
      <c r="AM165" s="168" t="s">
        <v>938</v>
      </c>
      <c r="AN165" s="36"/>
      <c r="AO165" s="36"/>
      <c r="AP165" s="37"/>
    </row>
    <row r="166" spans="1:42" s="38" customFormat="1" ht="18.75" customHeight="1" x14ac:dyDescent="0.25">
      <c r="A166" s="44">
        <v>46183</v>
      </c>
      <c r="B166" s="40">
        <f t="shared" si="4"/>
        <v>46183</v>
      </c>
      <c r="C166" s="41" t="s">
        <v>85</v>
      </c>
      <c r="D166" s="45" t="s">
        <v>86</v>
      </c>
      <c r="E166" s="45">
        <v>31566</v>
      </c>
      <c r="F166" s="45">
        <v>1</v>
      </c>
      <c r="G166" s="191">
        <v>19936260</v>
      </c>
      <c r="H166" s="54" t="s">
        <v>234</v>
      </c>
      <c r="I166" s="42"/>
      <c r="J166" s="43"/>
      <c r="K166" s="43">
        <f t="shared" si="5"/>
        <v>60</v>
      </c>
      <c r="L166" s="43"/>
      <c r="M166" s="43"/>
      <c r="N166" s="43"/>
      <c r="O166" s="43"/>
      <c r="P166" s="46">
        <v>60</v>
      </c>
      <c r="Q166" s="47"/>
      <c r="R166" s="40"/>
      <c r="S166" s="42"/>
      <c r="T166" s="41"/>
      <c r="U166" s="41"/>
      <c r="V166" s="48" t="s">
        <v>453</v>
      </c>
      <c r="W166" s="43"/>
      <c r="X166" s="44">
        <v>46183</v>
      </c>
      <c r="Y166" s="41" t="s">
        <v>454</v>
      </c>
      <c r="Z166" s="41"/>
      <c r="AA166" s="41"/>
      <c r="AB166" s="41" t="s">
        <v>937</v>
      </c>
      <c r="AC166" s="49"/>
      <c r="AD166" s="49">
        <v>1212</v>
      </c>
      <c r="AE166" s="50"/>
      <c r="AF166" s="51"/>
      <c r="AG166" s="51"/>
      <c r="AH166" s="52"/>
      <c r="AI166" s="52"/>
      <c r="AJ166" s="53"/>
      <c r="AK166" s="52"/>
      <c r="AL166" s="43">
        <v>18</v>
      </c>
      <c r="AM166" s="168" t="s">
        <v>938</v>
      </c>
      <c r="AN166" s="36"/>
      <c r="AO166" s="36"/>
      <c r="AP166" s="37"/>
    </row>
    <row r="167" spans="1:42" s="190" customFormat="1" ht="18.75" customHeight="1" x14ac:dyDescent="0.25">
      <c r="A167" s="172">
        <v>46183</v>
      </c>
      <c r="B167" s="173">
        <f t="shared" si="4"/>
        <v>46183</v>
      </c>
      <c r="C167" s="174" t="s">
        <v>85</v>
      </c>
      <c r="D167" s="175" t="s">
        <v>86</v>
      </c>
      <c r="E167" s="175">
        <v>31567</v>
      </c>
      <c r="F167" s="175">
        <v>1</v>
      </c>
      <c r="G167" s="192" t="s">
        <v>931</v>
      </c>
      <c r="H167" s="176" t="s">
        <v>235</v>
      </c>
      <c r="I167" s="177"/>
      <c r="J167" s="178"/>
      <c r="K167" s="178">
        <f t="shared" si="5"/>
        <v>53</v>
      </c>
      <c r="L167" s="178"/>
      <c r="M167" s="178"/>
      <c r="N167" s="178"/>
      <c r="O167" s="178"/>
      <c r="P167" s="179">
        <v>53</v>
      </c>
      <c r="Q167" s="180"/>
      <c r="R167" s="173"/>
      <c r="S167" s="177"/>
      <c r="T167" s="174"/>
      <c r="U167" s="174"/>
      <c r="V167" s="181" t="s">
        <v>453</v>
      </c>
      <c r="W167" s="178"/>
      <c r="X167" s="172">
        <v>46183</v>
      </c>
      <c r="Y167" s="174" t="s">
        <v>454</v>
      </c>
      <c r="Z167" s="174"/>
      <c r="AA167" s="174"/>
      <c r="AB167" s="174" t="s">
        <v>937</v>
      </c>
      <c r="AC167" s="182"/>
      <c r="AD167" s="182">
        <v>1212</v>
      </c>
      <c r="AE167" s="183"/>
      <c r="AF167" s="184"/>
      <c r="AG167" s="184"/>
      <c r="AH167" s="185"/>
      <c r="AI167" s="185"/>
      <c r="AJ167" s="186"/>
      <c r="AK167" s="185"/>
      <c r="AL167" s="178">
        <v>18</v>
      </c>
      <c r="AM167" s="187" t="s">
        <v>938</v>
      </c>
      <c r="AN167" s="188"/>
      <c r="AO167" s="188"/>
      <c r="AP167" s="189"/>
    </row>
    <row r="168" spans="1:42" s="190" customFormat="1" ht="18.75" customHeight="1" x14ac:dyDescent="0.25">
      <c r="A168" s="172">
        <v>46183</v>
      </c>
      <c r="B168" s="173">
        <f t="shared" si="4"/>
        <v>46183</v>
      </c>
      <c r="C168" s="174" t="s">
        <v>85</v>
      </c>
      <c r="D168" s="175" t="s">
        <v>86</v>
      </c>
      <c r="E168" s="175">
        <v>31568</v>
      </c>
      <c r="F168" s="175">
        <v>1</v>
      </c>
      <c r="G168" s="192" t="s">
        <v>932</v>
      </c>
      <c r="H168" s="176" t="s">
        <v>236</v>
      </c>
      <c r="I168" s="177"/>
      <c r="J168" s="178"/>
      <c r="K168" s="178">
        <f t="shared" si="5"/>
        <v>99.7</v>
      </c>
      <c r="L168" s="178"/>
      <c r="M168" s="178"/>
      <c r="N168" s="178"/>
      <c r="O168" s="178"/>
      <c r="P168" s="179">
        <v>99.7</v>
      </c>
      <c r="Q168" s="180"/>
      <c r="R168" s="173"/>
      <c r="S168" s="177"/>
      <c r="T168" s="174"/>
      <c r="U168" s="174"/>
      <c r="V168" s="181" t="s">
        <v>453</v>
      </c>
      <c r="W168" s="178"/>
      <c r="X168" s="172">
        <v>46183</v>
      </c>
      <c r="Y168" s="174" t="s">
        <v>454</v>
      </c>
      <c r="Z168" s="174"/>
      <c r="AA168" s="174"/>
      <c r="AB168" s="174" t="s">
        <v>937</v>
      </c>
      <c r="AC168" s="182"/>
      <c r="AD168" s="182">
        <v>1212</v>
      </c>
      <c r="AE168" s="183"/>
      <c r="AF168" s="184"/>
      <c r="AG168" s="184"/>
      <c r="AH168" s="185"/>
      <c r="AI168" s="185"/>
      <c r="AJ168" s="186"/>
      <c r="AK168" s="185"/>
      <c r="AL168" s="178">
        <v>18</v>
      </c>
      <c r="AM168" s="187" t="s">
        <v>938</v>
      </c>
      <c r="AN168" s="188"/>
      <c r="AO168" s="188"/>
      <c r="AP168" s="189"/>
    </row>
    <row r="169" spans="1:42" s="38" customFormat="1" ht="18.75" customHeight="1" x14ac:dyDescent="0.25">
      <c r="A169" s="44">
        <v>46183</v>
      </c>
      <c r="B169" s="40">
        <f t="shared" si="4"/>
        <v>46183</v>
      </c>
      <c r="C169" s="41" t="s">
        <v>85</v>
      </c>
      <c r="D169" s="45" t="s">
        <v>86</v>
      </c>
      <c r="E169" s="45">
        <v>31569</v>
      </c>
      <c r="F169" s="45">
        <v>1</v>
      </c>
      <c r="G169" s="191">
        <v>44528357</v>
      </c>
      <c r="H169" s="54" t="s">
        <v>237</v>
      </c>
      <c r="I169" s="42"/>
      <c r="J169" s="43"/>
      <c r="K169" s="43">
        <f t="shared" si="5"/>
        <v>66.3</v>
      </c>
      <c r="L169" s="43"/>
      <c r="M169" s="43"/>
      <c r="N169" s="43"/>
      <c r="O169" s="43"/>
      <c r="P169" s="46">
        <v>66.3</v>
      </c>
      <c r="Q169" s="47"/>
      <c r="R169" s="40"/>
      <c r="S169" s="42"/>
      <c r="T169" s="41"/>
      <c r="U169" s="41"/>
      <c r="V169" s="48" t="s">
        <v>453</v>
      </c>
      <c r="W169" s="43"/>
      <c r="X169" s="44">
        <v>46183</v>
      </c>
      <c r="Y169" s="41" t="s">
        <v>454</v>
      </c>
      <c r="Z169" s="41"/>
      <c r="AA169" s="41"/>
      <c r="AB169" s="41" t="s">
        <v>937</v>
      </c>
      <c r="AC169" s="49"/>
      <c r="AD169" s="49">
        <v>1212</v>
      </c>
      <c r="AE169" s="50"/>
      <c r="AF169" s="51"/>
      <c r="AG169" s="51"/>
      <c r="AH169" s="52"/>
      <c r="AI169" s="52"/>
      <c r="AJ169" s="53"/>
      <c r="AK169" s="52"/>
      <c r="AL169" s="43">
        <v>18</v>
      </c>
      <c r="AM169" s="168" t="s">
        <v>938</v>
      </c>
      <c r="AN169" s="36"/>
      <c r="AO169" s="36"/>
      <c r="AP169" s="37"/>
    </row>
    <row r="170" spans="1:42" s="38" customFormat="1" ht="18.75" customHeight="1" x14ac:dyDescent="0.25">
      <c r="A170" s="44">
        <v>46183</v>
      </c>
      <c r="B170" s="40">
        <f t="shared" si="4"/>
        <v>46183</v>
      </c>
      <c r="C170" s="41" t="s">
        <v>85</v>
      </c>
      <c r="D170" s="45" t="s">
        <v>86</v>
      </c>
      <c r="E170" s="45">
        <v>31570</v>
      </c>
      <c r="F170" s="45">
        <v>1</v>
      </c>
      <c r="G170" s="191">
        <v>47929727</v>
      </c>
      <c r="H170" s="54" t="s">
        <v>238</v>
      </c>
      <c r="I170" s="42"/>
      <c r="J170" s="43"/>
      <c r="K170" s="43">
        <f t="shared" si="5"/>
        <v>310</v>
      </c>
      <c r="L170" s="43"/>
      <c r="M170" s="43"/>
      <c r="N170" s="43"/>
      <c r="O170" s="43"/>
      <c r="P170" s="46">
        <v>310</v>
      </c>
      <c r="Q170" s="47"/>
      <c r="R170" s="40"/>
      <c r="S170" s="42"/>
      <c r="T170" s="41"/>
      <c r="U170" s="41"/>
      <c r="V170" s="48" t="s">
        <v>453</v>
      </c>
      <c r="W170" s="43"/>
      <c r="X170" s="44">
        <v>46183</v>
      </c>
      <c r="Y170" s="41" t="s">
        <v>454</v>
      </c>
      <c r="Z170" s="41"/>
      <c r="AA170" s="41"/>
      <c r="AB170" s="41" t="s">
        <v>937</v>
      </c>
      <c r="AC170" s="49"/>
      <c r="AD170" s="49">
        <v>1212</v>
      </c>
      <c r="AE170" s="50"/>
      <c r="AF170" s="51"/>
      <c r="AG170" s="51"/>
      <c r="AH170" s="52"/>
      <c r="AI170" s="52"/>
      <c r="AJ170" s="53"/>
      <c r="AK170" s="52"/>
      <c r="AL170" s="43">
        <v>18</v>
      </c>
      <c r="AM170" s="168" t="s">
        <v>938</v>
      </c>
      <c r="AN170" s="36"/>
      <c r="AO170" s="36"/>
      <c r="AP170" s="37"/>
    </row>
    <row r="171" spans="1:42" s="38" customFormat="1" ht="18.75" customHeight="1" x14ac:dyDescent="0.25">
      <c r="A171" s="44">
        <v>46183</v>
      </c>
      <c r="B171" s="40">
        <f t="shared" si="4"/>
        <v>46183</v>
      </c>
      <c r="C171" s="41" t="s">
        <v>85</v>
      </c>
      <c r="D171" s="45" t="s">
        <v>86</v>
      </c>
      <c r="E171" s="45">
        <v>31572</v>
      </c>
      <c r="F171" s="45">
        <v>1</v>
      </c>
      <c r="G171" s="191">
        <v>40816816</v>
      </c>
      <c r="H171" s="54" t="s">
        <v>239</v>
      </c>
      <c r="I171" s="42"/>
      <c r="J171" s="43"/>
      <c r="K171" s="43">
        <f t="shared" si="5"/>
        <v>50</v>
      </c>
      <c r="L171" s="43"/>
      <c r="M171" s="43"/>
      <c r="N171" s="43"/>
      <c r="O171" s="43"/>
      <c r="P171" s="46">
        <v>50</v>
      </c>
      <c r="Q171" s="47"/>
      <c r="R171" s="40"/>
      <c r="S171" s="42"/>
      <c r="T171" s="41"/>
      <c r="U171" s="41"/>
      <c r="V171" s="48" t="s">
        <v>453</v>
      </c>
      <c r="W171" s="43"/>
      <c r="X171" s="44">
        <v>46183</v>
      </c>
      <c r="Y171" s="41" t="s">
        <v>454</v>
      </c>
      <c r="Z171" s="41"/>
      <c r="AA171" s="41"/>
      <c r="AB171" s="41" t="s">
        <v>937</v>
      </c>
      <c r="AC171" s="49"/>
      <c r="AD171" s="49">
        <v>1212</v>
      </c>
      <c r="AE171" s="50"/>
      <c r="AF171" s="51"/>
      <c r="AG171" s="51"/>
      <c r="AH171" s="52"/>
      <c r="AI171" s="52"/>
      <c r="AJ171" s="53"/>
      <c r="AK171" s="52"/>
      <c r="AL171" s="43">
        <v>18</v>
      </c>
      <c r="AM171" s="168" t="s">
        <v>938</v>
      </c>
      <c r="AN171" s="36"/>
      <c r="AO171" s="36"/>
      <c r="AP171" s="37"/>
    </row>
    <row r="172" spans="1:42" s="38" customFormat="1" ht="18.75" customHeight="1" x14ac:dyDescent="0.25">
      <c r="A172" s="44">
        <v>46183</v>
      </c>
      <c r="B172" s="40">
        <f t="shared" si="4"/>
        <v>46183</v>
      </c>
      <c r="C172" s="41" t="s">
        <v>85</v>
      </c>
      <c r="D172" s="45" t="s">
        <v>86</v>
      </c>
      <c r="E172" s="45">
        <v>31573</v>
      </c>
      <c r="F172" s="45">
        <v>1</v>
      </c>
      <c r="G172" s="191">
        <v>20109347</v>
      </c>
      <c r="H172" s="54" t="s">
        <v>240</v>
      </c>
      <c r="I172" s="42"/>
      <c r="J172" s="43"/>
      <c r="K172" s="43">
        <f t="shared" si="5"/>
        <v>16.7</v>
      </c>
      <c r="L172" s="43"/>
      <c r="M172" s="43"/>
      <c r="N172" s="43"/>
      <c r="O172" s="43"/>
      <c r="P172" s="46">
        <v>16.7</v>
      </c>
      <c r="Q172" s="47"/>
      <c r="R172" s="40"/>
      <c r="S172" s="42"/>
      <c r="T172" s="41"/>
      <c r="U172" s="41"/>
      <c r="V172" s="48" t="s">
        <v>453</v>
      </c>
      <c r="W172" s="43"/>
      <c r="X172" s="44">
        <v>46183</v>
      </c>
      <c r="Y172" s="41" t="s">
        <v>454</v>
      </c>
      <c r="Z172" s="41"/>
      <c r="AA172" s="41"/>
      <c r="AB172" s="41" t="s">
        <v>937</v>
      </c>
      <c r="AC172" s="49"/>
      <c r="AD172" s="49">
        <v>1212</v>
      </c>
      <c r="AE172" s="50"/>
      <c r="AF172" s="51"/>
      <c r="AG172" s="51"/>
      <c r="AH172" s="52"/>
      <c r="AI172" s="52"/>
      <c r="AJ172" s="53"/>
      <c r="AK172" s="52"/>
      <c r="AL172" s="43">
        <v>18</v>
      </c>
      <c r="AM172" s="168" t="s">
        <v>938</v>
      </c>
      <c r="AN172" s="36"/>
      <c r="AO172" s="36"/>
      <c r="AP172" s="37"/>
    </row>
    <row r="173" spans="1:42" s="38" customFormat="1" ht="18.75" customHeight="1" x14ac:dyDescent="0.25">
      <c r="A173" s="44">
        <v>46183</v>
      </c>
      <c r="B173" s="40">
        <f t="shared" si="4"/>
        <v>46183</v>
      </c>
      <c r="C173" s="41" t="s">
        <v>85</v>
      </c>
      <c r="D173" s="45" t="s">
        <v>86</v>
      </c>
      <c r="E173" s="45">
        <v>31574</v>
      </c>
      <c r="F173" s="45">
        <v>1</v>
      </c>
      <c r="G173" s="191">
        <v>73271469</v>
      </c>
      <c r="H173" s="54" t="s">
        <v>241</v>
      </c>
      <c r="I173" s="42"/>
      <c r="J173" s="43"/>
      <c r="K173" s="43">
        <f t="shared" si="5"/>
        <v>15</v>
      </c>
      <c r="L173" s="43"/>
      <c r="M173" s="43"/>
      <c r="N173" s="43"/>
      <c r="O173" s="43"/>
      <c r="P173" s="46">
        <v>15</v>
      </c>
      <c r="Q173" s="47"/>
      <c r="R173" s="40"/>
      <c r="S173" s="42"/>
      <c r="T173" s="41"/>
      <c r="U173" s="41"/>
      <c r="V173" s="48" t="s">
        <v>453</v>
      </c>
      <c r="W173" s="43"/>
      <c r="X173" s="44">
        <v>46183</v>
      </c>
      <c r="Y173" s="41" t="s">
        <v>454</v>
      </c>
      <c r="Z173" s="41"/>
      <c r="AA173" s="41"/>
      <c r="AB173" s="41" t="s">
        <v>937</v>
      </c>
      <c r="AC173" s="49"/>
      <c r="AD173" s="49">
        <v>1212</v>
      </c>
      <c r="AE173" s="50"/>
      <c r="AF173" s="51"/>
      <c r="AG173" s="51"/>
      <c r="AH173" s="52"/>
      <c r="AI173" s="52"/>
      <c r="AJ173" s="53"/>
      <c r="AK173" s="52"/>
      <c r="AL173" s="43">
        <v>18</v>
      </c>
      <c r="AM173" s="168" t="s">
        <v>938</v>
      </c>
      <c r="AN173" s="36"/>
      <c r="AO173" s="36"/>
      <c r="AP173" s="37"/>
    </row>
    <row r="174" spans="1:42" s="38" customFormat="1" ht="18.75" customHeight="1" x14ac:dyDescent="0.25">
      <c r="A174" s="44">
        <v>46183</v>
      </c>
      <c r="B174" s="40">
        <f t="shared" si="4"/>
        <v>46183</v>
      </c>
      <c r="C174" s="41" t="s">
        <v>85</v>
      </c>
      <c r="D174" s="45" t="s">
        <v>86</v>
      </c>
      <c r="E174" s="45">
        <v>31575</v>
      </c>
      <c r="F174" s="45">
        <v>1</v>
      </c>
      <c r="G174" s="191">
        <v>42083736</v>
      </c>
      <c r="H174" s="54" t="s">
        <v>242</v>
      </c>
      <c r="I174" s="42"/>
      <c r="J174" s="43"/>
      <c r="K174" s="43">
        <f t="shared" si="5"/>
        <v>13.7</v>
      </c>
      <c r="L174" s="43"/>
      <c r="M174" s="43"/>
      <c r="N174" s="43"/>
      <c r="O174" s="43"/>
      <c r="P174" s="46">
        <v>13.7</v>
      </c>
      <c r="Q174" s="47"/>
      <c r="R174" s="40"/>
      <c r="S174" s="42"/>
      <c r="T174" s="41"/>
      <c r="U174" s="41"/>
      <c r="V174" s="48" t="s">
        <v>453</v>
      </c>
      <c r="W174" s="43"/>
      <c r="X174" s="44">
        <v>46183</v>
      </c>
      <c r="Y174" s="41" t="s">
        <v>454</v>
      </c>
      <c r="Z174" s="41"/>
      <c r="AA174" s="41"/>
      <c r="AB174" s="41" t="s">
        <v>937</v>
      </c>
      <c r="AC174" s="49"/>
      <c r="AD174" s="49">
        <v>1212</v>
      </c>
      <c r="AE174" s="50"/>
      <c r="AF174" s="51"/>
      <c r="AG174" s="51"/>
      <c r="AH174" s="52"/>
      <c r="AI174" s="52"/>
      <c r="AJ174" s="53"/>
      <c r="AK174" s="52"/>
      <c r="AL174" s="43">
        <v>18</v>
      </c>
      <c r="AM174" s="168" t="s">
        <v>938</v>
      </c>
      <c r="AN174" s="36"/>
      <c r="AO174" s="36"/>
      <c r="AP174" s="37"/>
    </row>
    <row r="175" spans="1:42" s="38" customFormat="1" ht="18.75" customHeight="1" x14ac:dyDescent="0.25">
      <c r="A175" s="44">
        <v>46183</v>
      </c>
      <c r="B175" s="40">
        <f t="shared" si="4"/>
        <v>46183</v>
      </c>
      <c r="C175" s="41" t="s">
        <v>85</v>
      </c>
      <c r="D175" s="45" t="s">
        <v>86</v>
      </c>
      <c r="E175" s="45">
        <v>31576</v>
      </c>
      <c r="F175" s="45">
        <v>1</v>
      </c>
      <c r="G175" s="191">
        <v>43263160</v>
      </c>
      <c r="H175" s="54" t="s">
        <v>243</v>
      </c>
      <c r="I175" s="42"/>
      <c r="J175" s="43"/>
      <c r="K175" s="43">
        <f t="shared" si="5"/>
        <v>25.8</v>
      </c>
      <c r="L175" s="43"/>
      <c r="M175" s="43"/>
      <c r="N175" s="43"/>
      <c r="O175" s="43"/>
      <c r="P175" s="46">
        <v>25.8</v>
      </c>
      <c r="Q175" s="47"/>
      <c r="R175" s="40"/>
      <c r="S175" s="42"/>
      <c r="T175" s="41"/>
      <c r="U175" s="41"/>
      <c r="V175" s="48" t="s">
        <v>453</v>
      </c>
      <c r="W175" s="43"/>
      <c r="X175" s="44">
        <v>46183</v>
      </c>
      <c r="Y175" s="41" t="s">
        <v>454</v>
      </c>
      <c r="Z175" s="41"/>
      <c r="AA175" s="41"/>
      <c r="AB175" s="41" t="s">
        <v>937</v>
      </c>
      <c r="AC175" s="49"/>
      <c r="AD175" s="49">
        <v>1212</v>
      </c>
      <c r="AE175" s="50"/>
      <c r="AF175" s="51"/>
      <c r="AG175" s="51"/>
      <c r="AH175" s="52"/>
      <c r="AI175" s="52"/>
      <c r="AJ175" s="53"/>
      <c r="AK175" s="52"/>
      <c r="AL175" s="43">
        <v>18</v>
      </c>
      <c r="AM175" s="168" t="s">
        <v>938</v>
      </c>
      <c r="AN175" s="36"/>
      <c r="AO175" s="36"/>
      <c r="AP175" s="37"/>
    </row>
    <row r="176" spans="1:42" s="38" customFormat="1" ht="18.75" customHeight="1" x14ac:dyDescent="0.25">
      <c r="A176" s="44">
        <v>46183</v>
      </c>
      <c r="B176" s="40">
        <f t="shared" si="4"/>
        <v>46183</v>
      </c>
      <c r="C176" s="41" t="s">
        <v>85</v>
      </c>
      <c r="D176" s="45" t="s">
        <v>86</v>
      </c>
      <c r="E176" s="45">
        <v>31571</v>
      </c>
      <c r="F176" s="45">
        <v>1</v>
      </c>
      <c r="G176" s="191">
        <v>47929727</v>
      </c>
      <c r="H176" s="54" t="s">
        <v>238</v>
      </c>
      <c r="I176" s="42"/>
      <c r="J176" s="43"/>
      <c r="K176" s="43">
        <f t="shared" si="5"/>
        <v>50</v>
      </c>
      <c r="L176" s="43"/>
      <c r="M176" s="43"/>
      <c r="N176" s="43"/>
      <c r="O176" s="43"/>
      <c r="P176" s="46">
        <v>50</v>
      </c>
      <c r="Q176" s="47"/>
      <c r="R176" s="40"/>
      <c r="S176" s="42"/>
      <c r="T176" s="41"/>
      <c r="U176" s="41"/>
      <c r="V176" s="48" t="s">
        <v>453</v>
      </c>
      <c r="W176" s="43"/>
      <c r="X176" s="44">
        <v>46183</v>
      </c>
      <c r="Y176" s="41" t="s">
        <v>454</v>
      </c>
      <c r="Z176" s="41"/>
      <c r="AA176" s="41"/>
      <c r="AB176" s="41" t="s">
        <v>937</v>
      </c>
      <c r="AC176" s="49"/>
      <c r="AD176" s="49">
        <v>1212</v>
      </c>
      <c r="AE176" s="50"/>
      <c r="AF176" s="51"/>
      <c r="AG176" s="51"/>
      <c r="AH176" s="52"/>
      <c r="AI176" s="52"/>
      <c r="AJ176" s="53"/>
      <c r="AK176" s="52"/>
      <c r="AL176" s="43">
        <v>18</v>
      </c>
      <c r="AM176" s="168" t="s">
        <v>938</v>
      </c>
      <c r="AN176" s="36"/>
      <c r="AO176" s="36"/>
      <c r="AP176" s="37"/>
    </row>
    <row r="177" spans="1:42" s="38" customFormat="1" ht="18.75" customHeight="1" x14ac:dyDescent="0.25">
      <c r="A177" s="44">
        <v>46184</v>
      </c>
      <c r="B177" s="40">
        <f t="shared" si="4"/>
        <v>46184</v>
      </c>
      <c r="C177" s="41" t="s">
        <v>85</v>
      </c>
      <c r="D177" s="45" t="s">
        <v>86</v>
      </c>
      <c r="E177" s="45">
        <v>31577</v>
      </c>
      <c r="F177" s="45">
        <v>1</v>
      </c>
      <c r="G177" s="191">
        <v>20079879</v>
      </c>
      <c r="H177" s="54" t="s">
        <v>244</v>
      </c>
      <c r="I177" s="42"/>
      <c r="J177" s="43"/>
      <c r="K177" s="43">
        <f t="shared" si="5"/>
        <v>5</v>
      </c>
      <c r="L177" s="43"/>
      <c r="M177" s="43"/>
      <c r="N177" s="43"/>
      <c r="O177" s="43"/>
      <c r="P177" s="46">
        <v>5</v>
      </c>
      <c r="Q177" s="47"/>
      <c r="R177" s="40"/>
      <c r="S177" s="42"/>
      <c r="T177" s="41"/>
      <c r="U177" s="41"/>
      <c r="V177" s="48" t="s">
        <v>453</v>
      </c>
      <c r="W177" s="43"/>
      <c r="X177" s="44">
        <v>46184</v>
      </c>
      <c r="Y177" s="41" t="s">
        <v>454</v>
      </c>
      <c r="Z177" s="41"/>
      <c r="AA177" s="41"/>
      <c r="AB177" s="41" t="s">
        <v>937</v>
      </c>
      <c r="AC177" s="49"/>
      <c r="AD177" s="49">
        <v>1212</v>
      </c>
      <c r="AE177" s="50"/>
      <c r="AF177" s="51"/>
      <c r="AG177" s="51"/>
      <c r="AH177" s="52"/>
      <c r="AI177" s="52"/>
      <c r="AJ177" s="53"/>
      <c r="AK177" s="52"/>
      <c r="AL177" s="43">
        <v>18</v>
      </c>
      <c r="AM177" s="168" t="s">
        <v>938</v>
      </c>
      <c r="AN177" s="36"/>
      <c r="AO177" s="36"/>
      <c r="AP177" s="37"/>
    </row>
    <row r="178" spans="1:42" s="38" customFormat="1" ht="18.75" customHeight="1" x14ac:dyDescent="0.25">
      <c r="A178" s="44">
        <v>46184</v>
      </c>
      <c r="B178" s="40">
        <f t="shared" si="4"/>
        <v>46184</v>
      </c>
      <c r="C178" s="41" t="s">
        <v>85</v>
      </c>
      <c r="D178" s="45" t="s">
        <v>86</v>
      </c>
      <c r="E178" s="45">
        <v>31578</v>
      </c>
      <c r="F178" s="45">
        <v>1</v>
      </c>
      <c r="G178" s="191">
        <v>19919640</v>
      </c>
      <c r="H178" s="54" t="s">
        <v>245</v>
      </c>
      <c r="I178" s="42"/>
      <c r="J178" s="43"/>
      <c r="K178" s="43">
        <f t="shared" si="5"/>
        <v>64.900000000000006</v>
      </c>
      <c r="L178" s="43"/>
      <c r="M178" s="43"/>
      <c r="N178" s="43"/>
      <c r="O178" s="43"/>
      <c r="P178" s="46">
        <v>64.900000000000006</v>
      </c>
      <c r="Q178" s="47"/>
      <c r="R178" s="40"/>
      <c r="S178" s="42"/>
      <c r="T178" s="41"/>
      <c r="U178" s="41"/>
      <c r="V178" s="48" t="s">
        <v>453</v>
      </c>
      <c r="W178" s="43"/>
      <c r="X178" s="44">
        <v>46184</v>
      </c>
      <c r="Y178" s="41" t="s">
        <v>454</v>
      </c>
      <c r="Z178" s="41"/>
      <c r="AA178" s="41"/>
      <c r="AB178" s="41" t="s">
        <v>937</v>
      </c>
      <c r="AC178" s="49"/>
      <c r="AD178" s="49">
        <v>1212</v>
      </c>
      <c r="AE178" s="50"/>
      <c r="AF178" s="51"/>
      <c r="AG178" s="51"/>
      <c r="AH178" s="52"/>
      <c r="AI178" s="52"/>
      <c r="AJ178" s="53"/>
      <c r="AK178" s="52"/>
      <c r="AL178" s="43">
        <v>18</v>
      </c>
      <c r="AM178" s="168" t="s">
        <v>938</v>
      </c>
      <c r="AN178" s="36"/>
      <c r="AO178" s="36"/>
      <c r="AP178" s="37"/>
    </row>
    <row r="179" spans="1:42" s="38" customFormat="1" ht="18.75" customHeight="1" x14ac:dyDescent="0.25">
      <c r="A179" s="44">
        <v>46184</v>
      </c>
      <c r="B179" s="40">
        <f t="shared" si="4"/>
        <v>46184</v>
      </c>
      <c r="C179" s="41" t="s">
        <v>85</v>
      </c>
      <c r="D179" s="45" t="s">
        <v>86</v>
      </c>
      <c r="E179" s="45">
        <v>31579</v>
      </c>
      <c r="F179" s="45">
        <v>6</v>
      </c>
      <c r="G179" s="191">
        <v>20603590687</v>
      </c>
      <c r="H179" s="54" t="s">
        <v>137</v>
      </c>
      <c r="I179" s="42"/>
      <c r="J179" s="43"/>
      <c r="K179" s="43">
        <f t="shared" si="5"/>
        <v>20</v>
      </c>
      <c r="L179" s="43"/>
      <c r="M179" s="43"/>
      <c r="N179" s="43"/>
      <c r="O179" s="43"/>
      <c r="P179" s="46">
        <v>20</v>
      </c>
      <c r="Q179" s="47"/>
      <c r="R179" s="40"/>
      <c r="S179" s="42"/>
      <c r="T179" s="41"/>
      <c r="U179" s="41"/>
      <c r="V179" s="48" t="s">
        <v>453</v>
      </c>
      <c r="W179" s="43"/>
      <c r="X179" s="44">
        <v>46184</v>
      </c>
      <c r="Y179" s="41" t="s">
        <v>454</v>
      </c>
      <c r="Z179" s="41"/>
      <c r="AA179" s="41"/>
      <c r="AB179" s="41" t="s">
        <v>937</v>
      </c>
      <c r="AC179" s="49"/>
      <c r="AD179" s="49">
        <v>1212</v>
      </c>
      <c r="AE179" s="50"/>
      <c r="AF179" s="51"/>
      <c r="AG179" s="51"/>
      <c r="AH179" s="52"/>
      <c r="AI179" s="52"/>
      <c r="AJ179" s="53"/>
      <c r="AK179" s="52"/>
      <c r="AL179" s="43">
        <v>18</v>
      </c>
      <c r="AM179" s="168" t="s">
        <v>938</v>
      </c>
      <c r="AN179" s="36"/>
      <c r="AO179" s="36"/>
      <c r="AP179" s="37"/>
    </row>
    <row r="180" spans="1:42" s="38" customFormat="1" ht="18.75" customHeight="1" x14ac:dyDescent="0.25">
      <c r="A180" s="44">
        <v>46184</v>
      </c>
      <c r="B180" s="40">
        <f t="shared" si="4"/>
        <v>46184</v>
      </c>
      <c r="C180" s="41" t="s">
        <v>85</v>
      </c>
      <c r="D180" s="45" t="s">
        <v>86</v>
      </c>
      <c r="E180" s="45">
        <v>31580</v>
      </c>
      <c r="F180" s="45">
        <v>1</v>
      </c>
      <c r="G180" s="191">
        <v>76614190</v>
      </c>
      <c r="H180" s="54" t="s">
        <v>246</v>
      </c>
      <c r="I180" s="42"/>
      <c r="J180" s="43"/>
      <c r="K180" s="43">
        <f t="shared" si="5"/>
        <v>62.2</v>
      </c>
      <c r="L180" s="43"/>
      <c r="M180" s="43"/>
      <c r="N180" s="43"/>
      <c r="O180" s="43"/>
      <c r="P180" s="46">
        <v>62.2</v>
      </c>
      <c r="Q180" s="47"/>
      <c r="R180" s="40"/>
      <c r="S180" s="42"/>
      <c r="T180" s="41"/>
      <c r="U180" s="41"/>
      <c r="V180" s="48" t="s">
        <v>453</v>
      </c>
      <c r="W180" s="43"/>
      <c r="X180" s="44">
        <v>46184</v>
      </c>
      <c r="Y180" s="41" t="s">
        <v>454</v>
      </c>
      <c r="Z180" s="41"/>
      <c r="AA180" s="41"/>
      <c r="AB180" s="41" t="s">
        <v>937</v>
      </c>
      <c r="AC180" s="49"/>
      <c r="AD180" s="49">
        <v>1212</v>
      </c>
      <c r="AE180" s="50"/>
      <c r="AF180" s="51"/>
      <c r="AG180" s="51"/>
      <c r="AH180" s="52"/>
      <c r="AI180" s="52"/>
      <c r="AJ180" s="53"/>
      <c r="AK180" s="52"/>
      <c r="AL180" s="43">
        <v>18</v>
      </c>
      <c r="AM180" s="168" t="s">
        <v>938</v>
      </c>
      <c r="AN180" s="36"/>
      <c r="AO180" s="36"/>
      <c r="AP180" s="37"/>
    </row>
    <row r="181" spans="1:42" s="38" customFormat="1" ht="18.75" customHeight="1" x14ac:dyDescent="0.25">
      <c r="A181" s="44">
        <v>46184</v>
      </c>
      <c r="B181" s="40">
        <f t="shared" si="4"/>
        <v>46184</v>
      </c>
      <c r="C181" s="41" t="s">
        <v>85</v>
      </c>
      <c r="D181" s="45" t="s">
        <v>86</v>
      </c>
      <c r="E181" s="45">
        <v>31581</v>
      </c>
      <c r="F181" s="45">
        <v>6</v>
      </c>
      <c r="G181" s="191">
        <v>20518164717</v>
      </c>
      <c r="H181" s="54" t="s">
        <v>118</v>
      </c>
      <c r="I181" s="42"/>
      <c r="J181" s="43"/>
      <c r="K181" s="43">
        <f t="shared" si="5"/>
        <v>12.6</v>
      </c>
      <c r="L181" s="43"/>
      <c r="M181" s="43"/>
      <c r="N181" s="43"/>
      <c r="O181" s="43"/>
      <c r="P181" s="46">
        <v>12.6</v>
      </c>
      <c r="Q181" s="47"/>
      <c r="R181" s="40"/>
      <c r="S181" s="42"/>
      <c r="T181" s="41"/>
      <c r="U181" s="41"/>
      <c r="V181" s="48" t="s">
        <v>453</v>
      </c>
      <c r="W181" s="43"/>
      <c r="X181" s="44">
        <v>46184</v>
      </c>
      <c r="Y181" s="41" t="s">
        <v>454</v>
      </c>
      <c r="Z181" s="41"/>
      <c r="AA181" s="41"/>
      <c r="AB181" s="41" t="s">
        <v>937</v>
      </c>
      <c r="AC181" s="49"/>
      <c r="AD181" s="49">
        <v>1212</v>
      </c>
      <c r="AE181" s="50"/>
      <c r="AF181" s="51"/>
      <c r="AG181" s="51"/>
      <c r="AH181" s="52"/>
      <c r="AI181" s="52"/>
      <c r="AJ181" s="53"/>
      <c r="AK181" s="52"/>
      <c r="AL181" s="43">
        <v>18</v>
      </c>
      <c r="AM181" s="168" t="s">
        <v>938</v>
      </c>
      <c r="AN181" s="36"/>
      <c r="AO181" s="36"/>
      <c r="AP181" s="37"/>
    </row>
    <row r="182" spans="1:42" s="38" customFormat="1" ht="18.75" customHeight="1" x14ac:dyDescent="0.25">
      <c r="A182" s="44">
        <v>46184</v>
      </c>
      <c r="B182" s="40">
        <f t="shared" si="4"/>
        <v>46184</v>
      </c>
      <c r="C182" s="41" t="s">
        <v>85</v>
      </c>
      <c r="D182" s="45" t="s">
        <v>86</v>
      </c>
      <c r="E182" s="45">
        <v>31582</v>
      </c>
      <c r="F182" s="45">
        <v>1</v>
      </c>
      <c r="G182" s="191">
        <v>40353339</v>
      </c>
      <c r="H182" s="54" t="s">
        <v>247</v>
      </c>
      <c r="I182" s="42"/>
      <c r="J182" s="43"/>
      <c r="K182" s="43">
        <f t="shared" si="5"/>
        <v>55</v>
      </c>
      <c r="L182" s="43"/>
      <c r="M182" s="43"/>
      <c r="N182" s="43"/>
      <c r="O182" s="43"/>
      <c r="P182" s="46">
        <v>55</v>
      </c>
      <c r="Q182" s="47"/>
      <c r="R182" s="40"/>
      <c r="S182" s="42"/>
      <c r="T182" s="41"/>
      <c r="U182" s="41"/>
      <c r="V182" s="48" t="s">
        <v>453</v>
      </c>
      <c r="W182" s="43"/>
      <c r="X182" s="44">
        <v>46184</v>
      </c>
      <c r="Y182" s="41" t="s">
        <v>454</v>
      </c>
      <c r="Z182" s="41"/>
      <c r="AA182" s="41"/>
      <c r="AB182" s="41" t="s">
        <v>937</v>
      </c>
      <c r="AC182" s="49"/>
      <c r="AD182" s="49">
        <v>1212</v>
      </c>
      <c r="AE182" s="50"/>
      <c r="AF182" s="51"/>
      <c r="AG182" s="51"/>
      <c r="AH182" s="52"/>
      <c r="AI182" s="52"/>
      <c r="AJ182" s="53"/>
      <c r="AK182" s="52"/>
      <c r="AL182" s="43">
        <v>18</v>
      </c>
      <c r="AM182" s="168" t="s">
        <v>938</v>
      </c>
      <c r="AN182" s="36"/>
      <c r="AO182" s="36"/>
      <c r="AP182" s="37"/>
    </row>
    <row r="183" spans="1:42" s="38" customFormat="1" ht="18.75" customHeight="1" x14ac:dyDescent="0.25">
      <c r="A183" s="44">
        <v>46184</v>
      </c>
      <c r="B183" s="40">
        <f t="shared" si="4"/>
        <v>46184</v>
      </c>
      <c r="C183" s="41" t="s">
        <v>85</v>
      </c>
      <c r="D183" s="45" t="s">
        <v>86</v>
      </c>
      <c r="E183" s="45">
        <v>31583</v>
      </c>
      <c r="F183" s="45">
        <v>1</v>
      </c>
      <c r="G183" s="191">
        <v>20433006</v>
      </c>
      <c r="H183" s="54" t="s">
        <v>248</v>
      </c>
      <c r="I183" s="42"/>
      <c r="J183" s="43"/>
      <c r="K183" s="43">
        <f t="shared" si="5"/>
        <v>7</v>
      </c>
      <c r="L183" s="43"/>
      <c r="M183" s="43"/>
      <c r="N183" s="43"/>
      <c r="O183" s="43"/>
      <c r="P183" s="46">
        <v>7</v>
      </c>
      <c r="Q183" s="47"/>
      <c r="R183" s="40"/>
      <c r="S183" s="42"/>
      <c r="T183" s="41"/>
      <c r="U183" s="41"/>
      <c r="V183" s="48" t="s">
        <v>453</v>
      </c>
      <c r="W183" s="43"/>
      <c r="X183" s="44">
        <v>46184</v>
      </c>
      <c r="Y183" s="41" t="s">
        <v>454</v>
      </c>
      <c r="Z183" s="41"/>
      <c r="AA183" s="41"/>
      <c r="AB183" s="41" t="s">
        <v>937</v>
      </c>
      <c r="AC183" s="49"/>
      <c r="AD183" s="49">
        <v>1212</v>
      </c>
      <c r="AE183" s="50"/>
      <c r="AF183" s="51"/>
      <c r="AG183" s="51"/>
      <c r="AH183" s="52"/>
      <c r="AI183" s="52"/>
      <c r="AJ183" s="53"/>
      <c r="AK183" s="52"/>
      <c r="AL183" s="43">
        <v>18</v>
      </c>
      <c r="AM183" s="168" t="s">
        <v>938</v>
      </c>
      <c r="AN183" s="36"/>
      <c r="AO183" s="36"/>
      <c r="AP183" s="37"/>
    </row>
    <row r="184" spans="1:42" s="38" customFormat="1" ht="18.75" customHeight="1" x14ac:dyDescent="0.25">
      <c r="A184" s="44">
        <v>46184</v>
      </c>
      <c r="B184" s="40">
        <f t="shared" si="4"/>
        <v>46184</v>
      </c>
      <c r="C184" s="41" t="s">
        <v>85</v>
      </c>
      <c r="D184" s="45" t="s">
        <v>86</v>
      </c>
      <c r="E184" s="45">
        <v>31584</v>
      </c>
      <c r="F184" s="45">
        <v>1</v>
      </c>
      <c r="G184" s="191">
        <v>47846371</v>
      </c>
      <c r="H184" s="54" t="s">
        <v>249</v>
      </c>
      <c r="I184" s="42"/>
      <c r="J184" s="43"/>
      <c r="K184" s="43">
        <f t="shared" si="5"/>
        <v>22.4</v>
      </c>
      <c r="L184" s="43"/>
      <c r="M184" s="43"/>
      <c r="N184" s="43"/>
      <c r="O184" s="43"/>
      <c r="P184" s="46">
        <v>22.4</v>
      </c>
      <c r="Q184" s="47"/>
      <c r="R184" s="40"/>
      <c r="S184" s="42"/>
      <c r="T184" s="41"/>
      <c r="U184" s="41"/>
      <c r="V184" s="48" t="s">
        <v>453</v>
      </c>
      <c r="W184" s="43"/>
      <c r="X184" s="44">
        <v>46184</v>
      </c>
      <c r="Y184" s="41" t="s">
        <v>454</v>
      </c>
      <c r="Z184" s="41"/>
      <c r="AA184" s="41"/>
      <c r="AB184" s="41" t="s">
        <v>937</v>
      </c>
      <c r="AC184" s="49"/>
      <c r="AD184" s="49">
        <v>1212</v>
      </c>
      <c r="AE184" s="50"/>
      <c r="AF184" s="51"/>
      <c r="AG184" s="51"/>
      <c r="AH184" s="52"/>
      <c r="AI184" s="52"/>
      <c r="AJ184" s="53"/>
      <c r="AK184" s="52"/>
      <c r="AL184" s="43">
        <v>18</v>
      </c>
      <c r="AM184" s="168" t="s">
        <v>938</v>
      </c>
      <c r="AN184" s="36"/>
      <c r="AO184" s="36"/>
      <c r="AP184" s="37"/>
    </row>
    <row r="185" spans="1:42" s="102" customFormat="1" ht="18.75" customHeight="1" x14ac:dyDescent="0.25">
      <c r="A185" s="150">
        <v>46184</v>
      </c>
      <c r="B185" s="151">
        <f t="shared" si="4"/>
        <v>46184</v>
      </c>
      <c r="C185" s="152" t="s">
        <v>924</v>
      </c>
      <c r="D185" s="153" t="s">
        <v>87</v>
      </c>
      <c r="E185" s="153">
        <v>157</v>
      </c>
      <c r="F185" s="153">
        <v>1</v>
      </c>
      <c r="G185" s="193">
        <v>47846371</v>
      </c>
      <c r="H185" s="154" t="s">
        <v>249</v>
      </c>
      <c r="I185" s="155"/>
      <c r="J185" s="156"/>
      <c r="K185" s="156">
        <f t="shared" si="5"/>
        <v>-22.4</v>
      </c>
      <c r="L185" s="156"/>
      <c r="M185" s="156"/>
      <c r="N185" s="156"/>
      <c r="O185" s="156"/>
      <c r="P185" s="157">
        <v>-22.4</v>
      </c>
      <c r="Q185" s="158"/>
      <c r="R185" s="151">
        <v>46184</v>
      </c>
      <c r="S185" s="152" t="s">
        <v>85</v>
      </c>
      <c r="T185" s="152" t="s">
        <v>86</v>
      </c>
      <c r="U185" s="152">
        <v>31584</v>
      </c>
      <c r="V185" s="48" t="s">
        <v>453</v>
      </c>
      <c r="W185" s="156"/>
      <c r="X185" s="150">
        <v>46184</v>
      </c>
      <c r="Y185" s="41" t="s">
        <v>454</v>
      </c>
      <c r="Z185" s="152"/>
      <c r="AA185" s="152"/>
      <c r="AB185" s="41" t="s">
        <v>937</v>
      </c>
      <c r="AC185" s="49"/>
      <c r="AD185" s="49">
        <v>1212</v>
      </c>
      <c r="AE185" s="159"/>
      <c r="AF185" s="160"/>
      <c r="AG185" s="160"/>
      <c r="AH185" s="161"/>
      <c r="AI185" s="161"/>
      <c r="AJ185" s="162"/>
      <c r="AK185" s="161"/>
      <c r="AL185" s="43">
        <v>18</v>
      </c>
      <c r="AM185" s="168" t="s">
        <v>938</v>
      </c>
      <c r="AN185" s="100"/>
      <c r="AO185" s="100"/>
      <c r="AP185" s="101"/>
    </row>
    <row r="186" spans="1:42" s="38" customFormat="1" ht="18.75" customHeight="1" x14ac:dyDescent="0.25">
      <c r="A186" s="44">
        <v>46184</v>
      </c>
      <c r="B186" s="40">
        <f t="shared" si="4"/>
        <v>46184</v>
      </c>
      <c r="C186" s="41" t="s">
        <v>85</v>
      </c>
      <c r="D186" s="45" t="s">
        <v>86</v>
      </c>
      <c r="E186" s="45">
        <v>31585</v>
      </c>
      <c r="F186" s="45">
        <v>1</v>
      </c>
      <c r="G186" s="191">
        <v>47846371</v>
      </c>
      <c r="H186" s="54" t="s">
        <v>249</v>
      </c>
      <c r="I186" s="42"/>
      <c r="J186" s="43"/>
      <c r="K186" s="43">
        <f t="shared" si="5"/>
        <v>24.9</v>
      </c>
      <c r="L186" s="43"/>
      <c r="M186" s="43"/>
      <c r="N186" s="43"/>
      <c r="O186" s="43"/>
      <c r="P186" s="46">
        <v>24.9</v>
      </c>
      <c r="Q186" s="47"/>
      <c r="R186" s="40"/>
      <c r="S186" s="42"/>
      <c r="T186" s="41"/>
      <c r="U186" s="41"/>
      <c r="V186" s="48" t="s">
        <v>453</v>
      </c>
      <c r="W186" s="43"/>
      <c r="X186" s="44">
        <v>46184</v>
      </c>
      <c r="Y186" s="41" t="s">
        <v>454</v>
      </c>
      <c r="Z186" s="41"/>
      <c r="AA186" s="41"/>
      <c r="AB186" s="41" t="s">
        <v>937</v>
      </c>
      <c r="AC186" s="49"/>
      <c r="AD186" s="49">
        <v>1212</v>
      </c>
      <c r="AE186" s="50"/>
      <c r="AF186" s="51"/>
      <c r="AG186" s="51"/>
      <c r="AH186" s="52"/>
      <c r="AI186" s="52"/>
      <c r="AJ186" s="53"/>
      <c r="AK186" s="52"/>
      <c r="AL186" s="43">
        <v>18</v>
      </c>
      <c r="AM186" s="168" t="s">
        <v>938</v>
      </c>
      <c r="AN186" s="36"/>
      <c r="AO186" s="36"/>
      <c r="AP186" s="37"/>
    </row>
    <row r="187" spans="1:42" s="38" customFormat="1" ht="18.75" customHeight="1" x14ac:dyDescent="0.25">
      <c r="A187" s="44">
        <v>46184</v>
      </c>
      <c r="B187" s="40">
        <f t="shared" si="4"/>
        <v>46184</v>
      </c>
      <c r="C187" s="41" t="s">
        <v>85</v>
      </c>
      <c r="D187" s="45" t="s">
        <v>86</v>
      </c>
      <c r="E187" s="45">
        <v>31586</v>
      </c>
      <c r="F187" s="45">
        <v>1</v>
      </c>
      <c r="G187" s="191">
        <v>76830462</v>
      </c>
      <c r="H187" s="54" t="s">
        <v>250</v>
      </c>
      <c r="I187" s="42"/>
      <c r="J187" s="43"/>
      <c r="K187" s="43">
        <f t="shared" si="5"/>
        <v>40</v>
      </c>
      <c r="L187" s="43"/>
      <c r="M187" s="43"/>
      <c r="N187" s="43"/>
      <c r="O187" s="43"/>
      <c r="P187" s="46">
        <v>40</v>
      </c>
      <c r="Q187" s="47"/>
      <c r="R187" s="40"/>
      <c r="S187" s="42"/>
      <c r="T187" s="41"/>
      <c r="U187" s="41"/>
      <c r="V187" s="48" t="s">
        <v>453</v>
      </c>
      <c r="W187" s="43"/>
      <c r="X187" s="44">
        <v>46184</v>
      </c>
      <c r="Y187" s="41" t="s">
        <v>454</v>
      </c>
      <c r="Z187" s="41"/>
      <c r="AA187" s="41"/>
      <c r="AB187" s="41" t="s">
        <v>937</v>
      </c>
      <c r="AC187" s="49"/>
      <c r="AD187" s="49">
        <v>1212</v>
      </c>
      <c r="AE187" s="50"/>
      <c r="AF187" s="51"/>
      <c r="AG187" s="51"/>
      <c r="AH187" s="52"/>
      <c r="AI187" s="52"/>
      <c r="AJ187" s="53"/>
      <c r="AK187" s="52"/>
      <c r="AL187" s="43">
        <v>18</v>
      </c>
      <c r="AM187" s="168" t="s">
        <v>938</v>
      </c>
      <c r="AN187" s="36"/>
      <c r="AO187" s="36"/>
      <c r="AP187" s="37"/>
    </row>
    <row r="188" spans="1:42" s="38" customFormat="1" ht="18.75" customHeight="1" x14ac:dyDescent="0.25">
      <c r="A188" s="44">
        <v>46184</v>
      </c>
      <c r="B188" s="40">
        <f t="shared" si="4"/>
        <v>46184</v>
      </c>
      <c r="C188" s="41" t="s">
        <v>85</v>
      </c>
      <c r="D188" s="45" t="s">
        <v>86</v>
      </c>
      <c r="E188" s="45">
        <v>31587</v>
      </c>
      <c r="F188" s="45">
        <v>1</v>
      </c>
      <c r="G188" s="191">
        <v>45114993</v>
      </c>
      <c r="H188" s="54" t="s">
        <v>251</v>
      </c>
      <c r="I188" s="42"/>
      <c r="J188" s="43"/>
      <c r="K188" s="43">
        <f t="shared" si="5"/>
        <v>10</v>
      </c>
      <c r="L188" s="43"/>
      <c r="M188" s="43"/>
      <c r="N188" s="43"/>
      <c r="O188" s="43"/>
      <c r="P188" s="46">
        <v>10</v>
      </c>
      <c r="Q188" s="47"/>
      <c r="R188" s="40"/>
      <c r="S188" s="42"/>
      <c r="T188" s="41"/>
      <c r="U188" s="41"/>
      <c r="V188" s="48" t="s">
        <v>453</v>
      </c>
      <c r="W188" s="43"/>
      <c r="X188" s="44">
        <v>46184</v>
      </c>
      <c r="Y188" s="41" t="s">
        <v>454</v>
      </c>
      <c r="Z188" s="41"/>
      <c r="AA188" s="41"/>
      <c r="AB188" s="41" t="s">
        <v>937</v>
      </c>
      <c r="AC188" s="49"/>
      <c r="AD188" s="49">
        <v>1212</v>
      </c>
      <c r="AE188" s="50"/>
      <c r="AF188" s="51"/>
      <c r="AG188" s="51"/>
      <c r="AH188" s="52"/>
      <c r="AI188" s="52"/>
      <c r="AJ188" s="53"/>
      <c r="AK188" s="52"/>
      <c r="AL188" s="43">
        <v>18</v>
      </c>
      <c r="AM188" s="168" t="s">
        <v>938</v>
      </c>
      <c r="AN188" s="36"/>
      <c r="AO188" s="36"/>
      <c r="AP188" s="37"/>
    </row>
    <row r="189" spans="1:42" s="38" customFormat="1" ht="18.75" customHeight="1" x14ac:dyDescent="0.25">
      <c r="A189" s="44">
        <v>46184</v>
      </c>
      <c r="B189" s="40">
        <f t="shared" si="4"/>
        <v>46184</v>
      </c>
      <c r="C189" s="41" t="s">
        <v>85</v>
      </c>
      <c r="D189" s="45" t="s">
        <v>86</v>
      </c>
      <c r="E189" s="45">
        <v>31588</v>
      </c>
      <c r="F189" s="45">
        <v>1</v>
      </c>
      <c r="G189" s="191">
        <v>43661452</v>
      </c>
      <c r="H189" s="54" t="s">
        <v>252</v>
      </c>
      <c r="I189" s="42"/>
      <c r="J189" s="43"/>
      <c r="K189" s="43">
        <f t="shared" si="5"/>
        <v>20</v>
      </c>
      <c r="L189" s="43"/>
      <c r="M189" s="43"/>
      <c r="N189" s="43"/>
      <c r="O189" s="43"/>
      <c r="P189" s="46">
        <v>20</v>
      </c>
      <c r="Q189" s="47"/>
      <c r="R189" s="40"/>
      <c r="S189" s="42"/>
      <c r="T189" s="41"/>
      <c r="U189" s="41"/>
      <c r="V189" s="48" t="s">
        <v>453</v>
      </c>
      <c r="W189" s="43"/>
      <c r="X189" s="44">
        <v>46184</v>
      </c>
      <c r="Y189" s="41" t="s">
        <v>454</v>
      </c>
      <c r="Z189" s="41"/>
      <c r="AA189" s="41"/>
      <c r="AB189" s="41" t="s">
        <v>937</v>
      </c>
      <c r="AC189" s="49"/>
      <c r="AD189" s="49">
        <v>1212</v>
      </c>
      <c r="AE189" s="50"/>
      <c r="AF189" s="51"/>
      <c r="AG189" s="51"/>
      <c r="AH189" s="52"/>
      <c r="AI189" s="52"/>
      <c r="AJ189" s="53"/>
      <c r="AK189" s="52"/>
      <c r="AL189" s="43">
        <v>18</v>
      </c>
      <c r="AM189" s="168" t="s">
        <v>938</v>
      </c>
      <c r="AN189" s="36"/>
      <c r="AO189" s="36"/>
      <c r="AP189" s="37"/>
    </row>
    <row r="190" spans="1:42" s="38" customFormat="1" ht="18.75" customHeight="1" x14ac:dyDescent="0.25">
      <c r="A190" s="44">
        <v>46184</v>
      </c>
      <c r="B190" s="40">
        <f t="shared" si="4"/>
        <v>46184</v>
      </c>
      <c r="C190" s="41" t="s">
        <v>85</v>
      </c>
      <c r="D190" s="45" t="s">
        <v>86</v>
      </c>
      <c r="E190" s="45">
        <v>31589</v>
      </c>
      <c r="F190" s="45">
        <v>1</v>
      </c>
      <c r="G190" s="191">
        <v>72097476</v>
      </c>
      <c r="H190" s="54" t="s">
        <v>253</v>
      </c>
      <c r="I190" s="42"/>
      <c r="J190" s="43"/>
      <c r="K190" s="43">
        <f t="shared" si="5"/>
        <v>12.5</v>
      </c>
      <c r="L190" s="43"/>
      <c r="M190" s="43"/>
      <c r="N190" s="43"/>
      <c r="O190" s="43"/>
      <c r="P190" s="46">
        <v>12.5</v>
      </c>
      <c r="Q190" s="47"/>
      <c r="R190" s="40"/>
      <c r="S190" s="42"/>
      <c r="T190" s="41"/>
      <c r="U190" s="41"/>
      <c r="V190" s="48" t="s">
        <v>453</v>
      </c>
      <c r="W190" s="43"/>
      <c r="X190" s="44">
        <v>46184</v>
      </c>
      <c r="Y190" s="41" t="s">
        <v>454</v>
      </c>
      <c r="Z190" s="41"/>
      <c r="AA190" s="41"/>
      <c r="AB190" s="41" t="s">
        <v>937</v>
      </c>
      <c r="AC190" s="49"/>
      <c r="AD190" s="49">
        <v>1212</v>
      </c>
      <c r="AE190" s="50"/>
      <c r="AF190" s="51"/>
      <c r="AG190" s="51"/>
      <c r="AH190" s="52"/>
      <c r="AI190" s="52"/>
      <c r="AJ190" s="53"/>
      <c r="AK190" s="52"/>
      <c r="AL190" s="43">
        <v>18</v>
      </c>
      <c r="AM190" s="168" t="s">
        <v>938</v>
      </c>
      <c r="AN190" s="36"/>
      <c r="AO190" s="36"/>
      <c r="AP190" s="37"/>
    </row>
    <row r="191" spans="1:42" s="38" customFormat="1" ht="18.75" customHeight="1" x14ac:dyDescent="0.25">
      <c r="A191" s="44">
        <v>46184</v>
      </c>
      <c r="B191" s="40">
        <f t="shared" si="4"/>
        <v>46184</v>
      </c>
      <c r="C191" s="41" t="s">
        <v>85</v>
      </c>
      <c r="D191" s="45" t="s">
        <v>86</v>
      </c>
      <c r="E191" s="45">
        <v>31590</v>
      </c>
      <c r="F191" s="45">
        <v>1</v>
      </c>
      <c r="G191" s="191">
        <v>20433530</v>
      </c>
      <c r="H191" s="54" t="s">
        <v>139</v>
      </c>
      <c r="I191" s="42"/>
      <c r="J191" s="43"/>
      <c r="K191" s="43">
        <f t="shared" si="5"/>
        <v>15</v>
      </c>
      <c r="L191" s="43"/>
      <c r="M191" s="43"/>
      <c r="N191" s="43"/>
      <c r="O191" s="43"/>
      <c r="P191" s="46">
        <v>15</v>
      </c>
      <c r="Q191" s="47"/>
      <c r="R191" s="40"/>
      <c r="S191" s="42"/>
      <c r="T191" s="41"/>
      <c r="U191" s="41"/>
      <c r="V191" s="48" t="s">
        <v>453</v>
      </c>
      <c r="W191" s="43"/>
      <c r="X191" s="44">
        <v>46184</v>
      </c>
      <c r="Y191" s="41" t="s">
        <v>454</v>
      </c>
      <c r="Z191" s="41"/>
      <c r="AA191" s="41"/>
      <c r="AB191" s="41" t="s">
        <v>937</v>
      </c>
      <c r="AC191" s="49"/>
      <c r="AD191" s="49">
        <v>1212</v>
      </c>
      <c r="AE191" s="50"/>
      <c r="AF191" s="51"/>
      <c r="AG191" s="51"/>
      <c r="AH191" s="52"/>
      <c r="AI191" s="52"/>
      <c r="AJ191" s="53"/>
      <c r="AK191" s="52"/>
      <c r="AL191" s="43">
        <v>18</v>
      </c>
      <c r="AM191" s="168" t="s">
        <v>938</v>
      </c>
      <c r="AN191" s="36"/>
      <c r="AO191" s="36"/>
      <c r="AP191" s="37"/>
    </row>
    <row r="192" spans="1:42" s="38" customFormat="1" ht="18.75" customHeight="1" x14ac:dyDescent="0.25">
      <c r="A192" s="44">
        <v>46185</v>
      </c>
      <c r="B192" s="40">
        <f t="shared" si="4"/>
        <v>46185</v>
      </c>
      <c r="C192" s="41" t="s">
        <v>85</v>
      </c>
      <c r="D192" s="45" t="s">
        <v>86</v>
      </c>
      <c r="E192" s="45">
        <v>31591</v>
      </c>
      <c r="F192" s="45">
        <v>6</v>
      </c>
      <c r="G192" s="191">
        <v>20568173016</v>
      </c>
      <c r="H192" s="54" t="s">
        <v>116</v>
      </c>
      <c r="I192" s="42"/>
      <c r="J192" s="43"/>
      <c r="K192" s="43">
        <f t="shared" si="5"/>
        <v>19.899999999999999</v>
      </c>
      <c r="L192" s="43"/>
      <c r="M192" s="43"/>
      <c r="N192" s="43"/>
      <c r="O192" s="43"/>
      <c r="P192" s="46">
        <v>19.899999999999999</v>
      </c>
      <c r="Q192" s="47"/>
      <c r="R192" s="40"/>
      <c r="S192" s="42"/>
      <c r="T192" s="41"/>
      <c r="U192" s="41"/>
      <c r="V192" s="48" t="s">
        <v>453</v>
      </c>
      <c r="W192" s="43"/>
      <c r="X192" s="44">
        <v>46185</v>
      </c>
      <c r="Y192" s="41" t="s">
        <v>454</v>
      </c>
      <c r="Z192" s="41"/>
      <c r="AA192" s="41"/>
      <c r="AB192" s="41" t="s">
        <v>937</v>
      </c>
      <c r="AC192" s="49"/>
      <c r="AD192" s="49">
        <v>1212</v>
      </c>
      <c r="AE192" s="50"/>
      <c r="AF192" s="51"/>
      <c r="AG192" s="51"/>
      <c r="AH192" s="52"/>
      <c r="AI192" s="52"/>
      <c r="AJ192" s="53"/>
      <c r="AK192" s="52"/>
      <c r="AL192" s="43">
        <v>18</v>
      </c>
      <c r="AM192" s="168" t="s">
        <v>938</v>
      </c>
      <c r="AN192" s="36"/>
      <c r="AO192" s="36"/>
      <c r="AP192" s="37"/>
    </row>
    <row r="193" spans="1:42" s="38" customFormat="1" ht="18.75" customHeight="1" x14ac:dyDescent="0.25">
      <c r="A193" s="44">
        <v>46185</v>
      </c>
      <c r="B193" s="40">
        <f t="shared" si="4"/>
        <v>46185</v>
      </c>
      <c r="C193" s="41" t="s">
        <v>85</v>
      </c>
      <c r="D193" s="45" t="s">
        <v>86</v>
      </c>
      <c r="E193" s="45">
        <v>31592</v>
      </c>
      <c r="F193" s="45">
        <v>1</v>
      </c>
      <c r="G193" s="191">
        <v>78654770</v>
      </c>
      <c r="H193" s="54" t="s">
        <v>254</v>
      </c>
      <c r="I193" s="42"/>
      <c r="J193" s="43"/>
      <c r="K193" s="43">
        <f t="shared" si="5"/>
        <v>96.5</v>
      </c>
      <c r="L193" s="43"/>
      <c r="M193" s="43"/>
      <c r="N193" s="43"/>
      <c r="O193" s="43"/>
      <c r="P193" s="46">
        <v>96.5</v>
      </c>
      <c r="Q193" s="47"/>
      <c r="R193" s="40"/>
      <c r="S193" s="42"/>
      <c r="T193" s="41"/>
      <c r="U193" s="41"/>
      <c r="V193" s="48" t="s">
        <v>453</v>
      </c>
      <c r="W193" s="43"/>
      <c r="X193" s="44">
        <v>46185</v>
      </c>
      <c r="Y193" s="41" t="s">
        <v>454</v>
      </c>
      <c r="Z193" s="41"/>
      <c r="AA193" s="41"/>
      <c r="AB193" s="41" t="s">
        <v>937</v>
      </c>
      <c r="AC193" s="49"/>
      <c r="AD193" s="49">
        <v>1212</v>
      </c>
      <c r="AE193" s="50"/>
      <c r="AF193" s="51"/>
      <c r="AG193" s="51"/>
      <c r="AH193" s="52"/>
      <c r="AI193" s="52"/>
      <c r="AJ193" s="53"/>
      <c r="AK193" s="52"/>
      <c r="AL193" s="43">
        <v>18</v>
      </c>
      <c r="AM193" s="168" t="s">
        <v>938</v>
      </c>
      <c r="AN193" s="36"/>
      <c r="AO193" s="36"/>
      <c r="AP193" s="37"/>
    </row>
    <row r="194" spans="1:42" s="38" customFormat="1" ht="18.75" customHeight="1" x14ac:dyDescent="0.25">
      <c r="A194" s="44">
        <v>46185</v>
      </c>
      <c r="B194" s="40">
        <f t="shared" si="4"/>
        <v>46185</v>
      </c>
      <c r="C194" s="41" t="s">
        <v>85</v>
      </c>
      <c r="D194" s="45" t="s">
        <v>86</v>
      </c>
      <c r="E194" s="45">
        <v>31593</v>
      </c>
      <c r="F194" s="45">
        <v>1</v>
      </c>
      <c r="G194" s="191">
        <v>74458596</v>
      </c>
      <c r="H194" s="54" t="s">
        <v>255</v>
      </c>
      <c r="I194" s="42"/>
      <c r="J194" s="43"/>
      <c r="K194" s="43">
        <f t="shared" si="5"/>
        <v>58.7</v>
      </c>
      <c r="L194" s="43"/>
      <c r="M194" s="43"/>
      <c r="N194" s="43"/>
      <c r="O194" s="43"/>
      <c r="P194" s="46">
        <v>58.7</v>
      </c>
      <c r="Q194" s="47"/>
      <c r="R194" s="40"/>
      <c r="S194" s="42"/>
      <c r="T194" s="41"/>
      <c r="U194" s="41"/>
      <c r="V194" s="48" t="s">
        <v>453</v>
      </c>
      <c r="W194" s="43"/>
      <c r="X194" s="44">
        <v>46185</v>
      </c>
      <c r="Y194" s="41" t="s">
        <v>454</v>
      </c>
      <c r="Z194" s="41"/>
      <c r="AA194" s="41"/>
      <c r="AB194" s="41" t="s">
        <v>937</v>
      </c>
      <c r="AC194" s="49"/>
      <c r="AD194" s="49">
        <v>1212</v>
      </c>
      <c r="AE194" s="50"/>
      <c r="AF194" s="51"/>
      <c r="AG194" s="51"/>
      <c r="AH194" s="52"/>
      <c r="AI194" s="52"/>
      <c r="AJ194" s="53"/>
      <c r="AK194" s="52"/>
      <c r="AL194" s="43">
        <v>18</v>
      </c>
      <c r="AM194" s="168" t="s">
        <v>938</v>
      </c>
      <c r="AN194" s="36"/>
      <c r="AO194" s="36"/>
      <c r="AP194" s="37"/>
    </row>
    <row r="195" spans="1:42" s="38" customFormat="1" ht="18.75" customHeight="1" x14ac:dyDescent="0.25">
      <c r="A195" s="44">
        <v>46185</v>
      </c>
      <c r="B195" s="40">
        <f t="shared" si="4"/>
        <v>46185</v>
      </c>
      <c r="C195" s="41" t="s">
        <v>85</v>
      </c>
      <c r="D195" s="45" t="s">
        <v>86</v>
      </c>
      <c r="E195" s="45">
        <v>31594</v>
      </c>
      <c r="F195" s="45">
        <v>1</v>
      </c>
      <c r="G195" s="191">
        <v>18079654</v>
      </c>
      <c r="H195" s="54" t="s">
        <v>256</v>
      </c>
      <c r="I195" s="42"/>
      <c r="J195" s="43"/>
      <c r="K195" s="43">
        <f t="shared" si="5"/>
        <v>15</v>
      </c>
      <c r="L195" s="43"/>
      <c r="M195" s="43"/>
      <c r="N195" s="43"/>
      <c r="O195" s="43"/>
      <c r="P195" s="46">
        <v>15</v>
      </c>
      <c r="Q195" s="47"/>
      <c r="R195" s="40"/>
      <c r="S195" s="42"/>
      <c r="T195" s="41"/>
      <c r="U195" s="41"/>
      <c r="V195" s="48" t="s">
        <v>453</v>
      </c>
      <c r="W195" s="43"/>
      <c r="X195" s="44">
        <v>46185</v>
      </c>
      <c r="Y195" s="41" t="s">
        <v>454</v>
      </c>
      <c r="Z195" s="41"/>
      <c r="AA195" s="41"/>
      <c r="AB195" s="41" t="s">
        <v>937</v>
      </c>
      <c r="AC195" s="49"/>
      <c r="AD195" s="49">
        <v>1212</v>
      </c>
      <c r="AE195" s="50"/>
      <c r="AF195" s="51"/>
      <c r="AG195" s="51"/>
      <c r="AH195" s="52"/>
      <c r="AI195" s="52"/>
      <c r="AJ195" s="53"/>
      <c r="AK195" s="52"/>
      <c r="AL195" s="43">
        <v>18</v>
      </c>
      <c r="AM195" s="168" t="s">
        <v>938</v>
      </c>
      <c r="AN195" s="36"/>
      <c r="AO195" s="36"/>
      <c r="AP195" s="37"/>
    </row>
    <row r="196" spans="1:42" s="38" customFormat="1" ht="18.75" customHeight="1" x14ac:dyDescent="0.25">
      <c r="A196" s="44">
        <v>46185</v>
      </c>
      <c r="B196" s="40">
        <f t="shared" si="4"/>
        <v>46185</v>
      </c>
      <c r="C196" s="41" t="s">
        <v>85</v>
      </c>
      <c r="D196" s="45" t="s">
        <v>86</v>
      </c>
      <c r="E196" s="45">
        <v>31595</v>
      </c>
      <c r="F196" s="45">
        <v>1</v>
      </c>
      <c r="G196" s="191">
        <v>18140799</v>
      </c>
      <c r="H196" s="54" t="s">
        <v>257</v>
      </c>
      <c r="I196" s="42"/>
      <c r="J196" s="43"/>
      <c r="K196" s="43">
        <f t="shared" si="5"/>
        <v>15</v>
      </c>
      <c r="L196" s="43"/>
      <c r="M196" s="43"/>
      <c r="N196" s="43"/>
      <c r="O196" s="43"/>
      <c r="P196" s="46">
        <v>15</v>
      </c>
      <c r="Q196" s="47"/>
      <c r="R196" s="40"/>
      <c r="S196" s="42"/>
      <c r="T196" s="41"/>
      <c r="U196" s="41"/>
      <c r="V196" s="48" t="s">
        <v>453</v>
      </c>
      <c r="W196" s="43"/>
      <c r="X196" s="44">
        <v>46185</v>
      </c>
      <c r="Y196" s="41" t="s">
        <v>454</v>
      </c>
      <c r="Z196" s="41"/>
      <c r="AA196" s="41"/>
      <c r="AB196" s="41" t="s">
        <v>937</v>
      </c>
      <c r="AC196" s="49"/>
      <c r="AD196" s="49">
        <v>1212</v>
      </c>
      <c r="AE196" s="50"/>
      <c r="AF196" s="51"/>
      <c r="AG196" s="51"/>
      <c r="AH196" s="52"/>
      <c r="AI196" s="52"/>
      <c r="AJ196" s="53"/>
      <c r="AK196" s="52"/>
      <c r="AL196" s="43">
        <v>18</v>
      </c>
      <c r="AM196" s="168" t="s">
        <v>938</v>
      </c>
      <c r="AN196" s="36"/>
      <c r="AO196" s="36"/>
      <c r="AP196" s="37"/>
    </row>
    <row r="197" spans="1:42" s="38" customFormat="1" ht="18.75" customHeight="1" x14ac:dyDescent="0.25">
      <c r="A197" s="44">
        <v>46185</v>
      </c>
      <c r="B197" s="40">
        <f t="shared" ref="B197:B260" si="6">+A197</f>
        <v>46185</v>
      </c>
      <c r="C197" s="41" t="s">
        <v>85</v>
      </c>
      <c r="D197" s="45" t="s">
        <v>86</v>
      </c>
      <c r="E197" s="45">
        <v>31596</v>
      </c>
      <c r="F197" s="45">
        <v>1</v>
      </c>
      <c r="G197" s="191">
        <v>20899091</v>
      </c>
      <c r="H197" s="54" t="s">
        <v>258</v>
      </c>
      <c r="I197" s="42"/>
      <c r="J197" s="43"/>
      <c r="K197" s="43">
        <f t="shared" ref="K197:K260" si="7">+P197</f>
        <v>14.5</v>
      </c>
      <c r="L197" s="43"/>
      <c r="M197" s="43"/>
      <c r="N197" s="43"/>
      <c r="O197" s="43"/>
      <c r="P197" s="46">
        <v>14.5</v>
      </c>
      <c r="Q197" s="47"/>
      <c r="R197" s="40"/>
      <c r="S197" s="42"/>
      <c r="T197" s="41"/>
      <c r="U197" s="41"/>
      <c r="V197" s="48" t="s">
        <v>453</v>
      </c>
      <c r="W197" s="43"/>
      <c r="X197" s="44">
        <v>46185</v>
      </c>
      <c r="Y197" s="41" t="s">
        <v>454</v>
      </c>
      <c r="Z197" s="41"/>
      <c r="AA197" s="41"/>
      <c r="AB197" s="41" t="s">
        <v>937</v>
      </c>
      <c r="AC197" s="49"/>
      <c r="AD197" s="49">
        <v>1212</v>
      </c>
      <c r="AE197" s="50"/>
      <c r="AF197" s="51"/>
      <c r="AG197" s="51"/>
      <c r="AH197" s="52"/>
      <c r="AI197" s="52"/>
      <c r="AJ197" s="53"/>
      <c r="AK197" s="52"/>
      <c r="AL197" s="43">
        <v>18</v>
      </c>
      <c r="AM197" s="168" t="s">
        <v>938</v>
      </c>
      <c r="AN197" s="36"/>
      <c r="AO197" s="36"/>
      <c r="AP197" s="37"/>
    </row>
    <row r="198" spans="1:42" s="38" customFormat="1" ht="18.75" customHeight="1" x14ac:dyDescent="0.25">
      <c r="A198" s="44">
        <v>46185</v>
      </c>
      <c r="B198" s="40">
        <f t="shared" si="6"/>
        <v>46185</v>
      </c>
      <c r="C198" s="41" t="s">
        <v>85</v>
      </c>
      <c r="D198" s="45" t="s">
        <v>86</v>
      </c>
      <c r="E198" s="45">
        <v>31597</v>
      </c>
      <c r="F198" s="45">
        <v>1</v>
      </c>
      <c r="G198" s="191">
        <v>23686544</v>
      </c>
      <c r="H198" s="54" t="s">
        <v>259</v>
      </c>
      <c r="I198" s="42"/>
      <c r="J198" s="43"/>
      <c r="K198" s="43">
        <f t="shared" si="7"/>
        <v>42.5</v>
      </c>
      <c r="L198" s="43"/>
      <c r="M198" s="43"/>
      <c r="N198" s="43"/>
      <c r="O198" s="43"/>
      <c r="P198" s="46">
        <v>42.5</v>
      </c>
      <c r="Q198" s="47"/>
      <c r="R198" s="40"/>
      <c r="S198" s="42"/>
      <c r="T198" s="41"/>
      <c r="U198" s="41"/>
      <c r="V198" s="48" t="s">
        <v>453</v>
      </c>
      <c r="W198" s="43"/>
      <c r="X198" s="44">
        <v>46185</v>
      </c>
      <c r="Y198" s="41" t="s">
        <v>454</v>
      </c>
      <c r="Z198" s="41"/>
      <c r="AA198" s="41"/>
      <c r="AB198" s="41" t="s">
        <v>937</v>
      </c>
      <c r="AC198" s="49"/>
      <c r="AD198" s="49">
        <v>1212</v>
      </c>
      <c r="AE198" s="50"/>
      <c r="AF198" s="51"/>
      <c r="AG198" s="51"/>
      <c r="AH198" s="52"/>
      <c r="AI198" s="52"/>
      <c r="AJ198" s="53"/>
      <c r="AK198" s="52"/>
      <c r="AL198" s="43">
        <v>18</v>
      </c>
      <c r="AM198" s="168" t="s">
        <v>938</v>
      </c>
      <c r="AN198" s="36"/>
      <c r="AO198" s="36"/>
      <c r="AP198" s="37"/>
    </row>
    <row r="199" spans="1:42" s="190" customFormat="1" ht="18.75" customHeight="1" x14ac:dyDescent="0.25">
      <c r="A199" s="172">
        <v>46185</v>
      </c>
      <c r="B199" s="173">
        <f t="shared" si="6"/>
        <v>46185</v>
      </c>
      <c r="C199" s="174" t="s">
        <v>85</v>
      </c>
      <c r="D199" s="175" t="s">
        <v>86</v>
      </c>
      <c r="E199" s="175">
        <v>31598</v>
      </c>
      <c r="F199" s="175">
        <v>1</v>
      </c>
      <c r="G199" s="192" t="s">
        <v>933</v>
      </c>
      <c r="H199" s="176" t="s">
        <v>260</v>
      </c>
      <c r="I199" s="177"/>
      <c r="J199" s="178"/>
      <c r="K199" s="178">
        <f t="shared" si="7"/>
        <v>60</v>
      </c>
      <c r="L199" s="178"/>
      <c r="M199" s="178"/>
      <c r="N199" s="178"/>
      <c r="O199" s="178"/>
      <c r="P199" s="179">
        <v>60</v>
      </c>
      <c r="Q199" s="180"/>
      <c r="R199" s="173"/>
      <c r="S199" s="177"/>
      <c r="T199" s="174"/>
      <c r="U199" s="174"/>
      <c r="V199" s="181" t="s">
        <v>453</v>
      </c>
      <c r="W199" s="178"/>
      <c r="X199" s="172">
        <v>46185</v>
      </c>
      <c r="Y199" s="174" t="s">
        <v>454</v>
      </c>
      <c r="Z199" s="174"/>
      <c r="AA199" s="174"/>
      <c r="AB199" s="174" t="s">
        <v>937</v>
      </c>
      <c r="AC199" s="182"/>
      <c r="AD199" s="182">
        <v>1212</v>
      </c>
      <c r="AE199" s="183"/>
      <c r="AF199" s="184"/>
      <c r="AG199" s="184"/>
      <c r="AH199" s="185"/>
      <c r="AI199" s="185"/>
      <c r="AJ199" s="186"/>
      <c r="AK199" s="185"/>
      <c r="AL199" s="178">
        <v>18</v>
      </c>
      <c r="AM199" s="187" t="s">
        <v>938</v>
      </c>
      <c r="AN199" s="188"/>
      <c r="AO199" s="188"/>
      <c r="AP199" s="189"/>
    </row>
    <row r="200" spans="1:42" s="38" customFormat="1" ht="18.75" customHeight="1" x14ac:dyDescent="0.25">
      <c r="A200" s="44">
        <v>46185</v>
      </c>
      <c r="B200" s="40">
        <f t="shared" si="6"/>
        <v>46185</v>
      </c>
      <c r="C200" s="41" t="s">
        <v>85</v>
      </c>
      <c r="D200" s="45" t="s">
        <v>86</v>
      </c>
      <c r="E200" s="45">
        <v>31599</v>
      </c>
      <c r="F200" s="45">
        <v>1</v>
      </c>
      <c r="G200" s="191">
        <v>71140282</v>
      </c>
      <c r="H200" s="54" t="s">
        <v>261</v>
      </c>
      <c r="I200" s="42"/>
      <c r="J200" s="43"/>
      <c r="K200" s="43">
        <f t="shared" si="7"/>
        <v>49</v>
      </c>
      <c r="L200" s="43"/>
      <c r="M200" s="43"/>
      <c r="N200" s="43"/>
      <c r="O200" s="43"/>
      <c r="P200" s="46">
        <v>49</v>
      </c>
      <c r="Q200" s="47"/>
      <c r="R200" s="40"/>
      <c r="S200" s="42"/>
      <c r="T200" s="41"/>
      <c r="U200" s="41"/>
      <c r="V200" s="48" t="s">
        <v>453</v>
      </c>
      <c r="W200" s="43"/>
      <c r="X200" s="44">
        <v>46185</v>
      </c>
      <c r="Y200" s="41" t="s">
        <v>454</v>
      </c>
      <c r="Z200" s="41"/>
      <c r="AA200" s="41"/>
      <c r="AB200" s="41" t="s">
        <v>937</v>
      </c>
      <c r="AC200" s="49"/>
      <c r="AD200" s="49">
        <v>1212</v>
      </c>
      <c r="AE200" s="50"/>
      <c r="AF200" s="51"/>
      <c r="AG200" s="51"/>
      <c r="AH200" s="52"/>
      <c r="AI200" s="52"/>
      <c r="AJ200" s="53"/>
      <c r="AK200" s="52"/>
      <c r="AL200" s="43">
        <v>18</v>
      </c>
      <c r="AM200" s="168" t="s">
        <v>938</v>
      </c>
      <c r="AN200" s="36"/>
      <c r="AO200" s="36"/>
      <c r="AP200" s="37"/>
    </row>
    <row r="201" spans="1:42" s="38" customFormat="1" ht="18.75" customHeight="1" x14ac:dyDescent="0.25">
      <c r="A201" s="44">
        <v>46185</v>
      </c>
      <c r="B201" s="40">
        <f t="shared" si="6"/>
        <v>46185</v>
      </c>
      <c r="C201" s="41" t="s">
        <v>85</v>
      </c>
      <c r="D201" s="45" t="s">
        <v>86</v>
      </c>
      <c r="E201" s="45">
        <v>31600</v>
      </c>
      <c r="F201" s="45">
        <v>1</v>
      </c>
      <c r="G201" s="191">
        <v>20104538</v>
      </c>
      <c r="H201" s="54" t="s">
        <v>262</v>
      </c>
      <c r="I201" s="42"/>
      <c r="J201" s="43"/>
      <c r="K201" s="43">
        <f t="shared" si="7"/>
        <v>25</v>
      </c>
      <c r="L201" s="43"/>
      <c r="M201" s="43"/>
      <c r="N201" s="43"/>
      <c r="O201" s="43"/>
      <c r="P201" s="46">
        <v>25</v>
      </c>
      <c r="Q201" s="47"/>
      <c r="R201" s="40"/>
      <c r="S201" s="42"/>
      <c r="T201" s="41"/>
      <c r="U201" s="41"/>
      <c r="V201" s="48" t="s">
        <v>453</v>
      </c>
      <c r="W201" s="43"/>
      <c r="X201" s="44">
        <v>46185</v>
      </c>
      <c r="Y201" s="41" t="s">
        <v>454</v>
      </c>
      <c r="Z201" s="41"/>
      <c r="AA201" s="41"/>
      <c r="AB201" s="41" t="s">
        <v>937</v>
      </c>
      <c r="AC201" s="49"/>
      <c r="AD201" s="49">
        <v>1212</v>
      </c>
      <c r="AE201" s="50"/>
      <c r="AF201" s="51"/>
      <c r="AG201" s="51"/>
      <c r="AH201" s="52"/>
      <c r="AI201" s="52"/>
      <c r="AJ201" s="53"/>
      <c r="AK201" s="52"/>
      <c r="AL201" s="43">
        <v>18</v>
      </c>
      <c r="AM201" s="168" t="s">
        <v>938</v>
      </c>
      <c r="AN201" s="36"/>
      <c r="AO201" s="36"/>
      <c r="AP201" s="37"/>
    </row>
    <row r="202" spans="1:42" s="38" customFormat="1" ht="18.75" customHeight="1" x14ac:dyDescent="0.25">
      <c r="A202" s="44">
        <v>46185</v>
      </c>
      <c r="B202" s="40">
        <f t="shared" si="6"/>
        <v>46185</v>
      </c>
      <c r="C202" s="41" t="s">
        <v>85</v>
      </c>
      <c r="D202" s="45" t="s">
        <v>86</v>
      </c>
      <c r="E202" s="45">
        <v>31601</v>
      </c>
      <c r="F202" s="45">
        <v>1</v>
      </c>
      <c r="G202" s="191">
        <v>43097636</v>
      </c>
      <c r="H202" s="54" t="s">
        <v>263</v>
      </c>
      <c r="I202" s="42"/>
      <c r="J202" s="43"/>
      <c r="K202" s="43">
        <f t="shared" si="7"/>
        <v>225</v>
      </c>
      <c r="L202" s="43"/>
      <c r="M202" s="43"/>
      <c r="N202" s="43"/>
      <c r="O202" s="43"/>
      <c r="P202" s="46">
        <v>225</v>
      </c>
      <c r="Q202" s="47"/>
      <c r="R202" s="40"/>
      <c r="S202" s="42"/>
      <c r="T202" s="41"/>
      <c r="U202" s="41"/>
      <c r="V202" s="48" t="s">
        <v>453</v>
      </c>
      <c r="W202" s="43"/>
      <c r="X202" s="44">
        <v>46185</v>
      </c>
      <c r="Y202" s="41" t="s">
        <v>454</v>
      </c>
      <c r="Z202" s="41"/>
      <c r="AA202" s="41"/>
      <c r="AB202" s="41" t="s">
        <v>937</v>
      </c>
      <c r="AC202" s="49"/>
      <c r="AD202" s="49">
        <v>1212</v>
      </c>
      <c r="AE202" s="50"/>
      <c r="AF202" s="51"/>
      <c r="AG202" s="51"/>
      <c r="AH202" s="52"/>
      <c r="AI202" s="52"/>
      <c r="AJ202" s="53"/>
      <c r="AK202" s="52"/>
      <c r="AL202" s="43">
        <v>18</v>
      </c>
      <c r="AM202" s="168" t="s">
        <v>938</v>
      </c>
      <c r="AN202" s="36"/>
      <c r="AO202" s="36"/>
      <c r="AP202" s="37"/>
    </row>
    <row r="203" spans="1:42" s="38" customFormat="1" ht="18.75" customHeight="1" x14ac:dyDescent="0.25">
      <c r="A203" s="44">
        <v>46185</v>
      </c>
      <c r="B203" s="40">
        <f t="shared" si="6"/>
        <v>46185</v>
      </c>
      <c r="C203" s="41" t="s">
        <v>85</v>
      </c>
      <c r="D203" s="45" t="s">
        <v>86</v>
      </c>
      <c r="E203" s="45">
        <v>31602</v>
      </c>
      <c r="F203" s="45">
        <v>1</v>
      </c>
      <c r="G203" s="191">
        <v>20438601</v>
      </c>
      <c r="H203" s="54" t="s">
        <v>264</v>
      </c>
      <c r="I203" s="42"/>
      <c r="J203" s="43"/>
      <c r="K203" s="43">
        <f t="shared" si="7"/>
        <v>64.900000000000006</v>
      </c>
      <c r="L203" s="43"/>
      <c r="M203" s="43"/>
      <c r="N203" s="43"/>
      <c r="O203" s="43"/>
      <c r="P203" s="46">
        <v>64.900000000000006</v>
      </c>
      <c r="Q203" s="47"/>
      <c r="R203" s="40"/>
      <c r="S203" s="42"/>
      <c r="T203" s="41"/>
      <c r="U203" s="41"/>
      <c r="V203" s="48" t="s">
        <v>453</v>
      </c>
      <c r="W203" s="43"/>
      <c r="X203" s="44">
        <v>46185</v>
      </c>
      <c r="Y203" s="41" t="s">
        <v>454</v>
      </c>
      <c r="Z203" s="41"/>
      <c r="AA203" s="41"/>
      <c r="AB203" s="41" t="s">
        <v>937</v>
      </c>
      <c r="AC203" s="49"/>
      <c r="AD203" s="49">
        <v>1212</v>
      </c>
      <c r="AE203" s="50"/>
      <c r="AF203" s="51"/>
      <c r="AG203" s="51"/>
      <c r="AH203" s="52"/>
      <c r="AI203" s="52"/>
      <c r="AJ203" s="53"/>
      <c r="AK203" s="52"/>
      <c r="AL203" s="43">
        <v>18</v>
      </c>
      <c r="AM203" s="168" t="s">
        <v>938</v>
      </c>
      <c r="AN203" s="36"/>
      <c r="AO203" s="36"/>
      <c r="AP203" s="37"/>
    </row>
    <row r="204" spans="1:42" s="38" customFormat="1" ht="18.75" customHeight="1" x14ac:dyDescent="0.25">
      <c r="A204" s="44">
        <v>46186</v>
      </c>
      <c r="B204" s="40">
        <f t="shared" si="6"/>
        <v>46186</v>
      </c>
      <c r="C204" s="41" t="s">
        <v>85</v>
      </c>
      <c r="D204" s="45" t="s">
        <v>86</v>
      </c>
      <c r="E204" s="45">
        <v>31603</v>
      </c>
      <c r="F204" s="45">
        <v>6</v>
      </c>
      <c r="G204" s="191">
        <v>20518164717</v>
      </c>
      <c r="H204" s="54" t="s">
        <v>118</v>
      </c>
      <c r="I204" s="42"/>
      <c r="J204" s="43"/>
      <c r="K204" s="43">
        <f t="shared" si="7"/>
        <v>12.2</v>
      </c>
      <c r="L204" s="43"/>
      <c r="M204" s="43"/>
      <c r="N204" s="43"/>
      <c r="O204" s="43"/>
      <c r="P204" s="46">
        <v>12.2</v>
      </c>
      <c r="Q204" s="47"/>
      <c r="R204" s="40"/>
      <c r="S204" s="42"/>
      <c r="T204" s="41"/>
      <c r="U204" s="41"/>
      <c r="V204" s="48" t="s">
        <v>453</v>
      </c>
      <c r="W204" s="43"/>
      <c r="X204" s="44">
        <v>46186</v>
      </c>
      <c r="Y204" s="41" t="s">
        <v>454</v>
      </c>
      <c r="Z204" s="41"/>
      <c r="AA204" s="41"/>
      <c r="AB204" s="41" t="s">
        <v>937</v>
      </c>
      <c r="AC204" s="49"/>
      <c r="AD204" s="49">
        <v>1212</v>
      </c>
      <c r="AE204" s="50"/>
      <c r="AF204" s="51"/>
      <c r="AG204" s="51"/>
      <c r="AH204" s="52"/>
      <c r="AI204" s="52"/>
      <c r="AJ204" s="53"/>
      <c r="AK204" s="52"/>
      <c r="AL204" s="43">
        <v>18</v>
      </c>
      <c r="AM204" s="168" t="s">
        <v>938</v>
      </c>
      <c r="AN204" s="36"/>
      <c r="AO204" s="36"/>
      <c r="AP204" s="37"/>
    </row>
    <row r="205" spans="1:42" s="38" customFormat="1" ht="18.75" customHeight="1" x14ac:dyDescent="0.25">
      <c r="A205" s="44">
        <v>46186</v>
      </c>
      <c r="B205" s="40">
        <f t="shared" si="6"/>
        <v>46186</v>
      </c>
      <c r="C205" s="41" t="s">
        <v>85</v>
      </c>
      <c r="D205" s="45" t="s">
        <v>86</v>
      </c>
      <c r="E205" s="45">
        <v>31604</v>
      </c>
      <c r="F205" s="45">
        <v>6</v>
      </c>
      <c r="G205" s="191">
        <v>20518164717</v>
      </c>
      <c r="H205" s="54" t="s">
        <v>118</v>
      </c>
      <c r="I205" s="42"/>
      <c r="J205" s="43"/>
      <c r="K205" s="43">
        <f t="shared" si="7"/>
        <v>13</v>
      </c>
      <c r="L205" s="43"/>
      <c r="M205" s="43"/>
      <c r="N205" s="43"/>
      <c r="O205" s="43"/>
      <c r="P205" s="46">
        <v>13</v>
      </c>
      <c r="Q205" s="47"/>
      <c r="R205" s="40"/>
      <c r="S205" s="42"/>
      <c r="T205" s="41"/>
      <c r="U205" s="41"/>
      <c r="V205" s="48" t="s">
        <v>453</v>
      </c>
      <c r="W205" s="43"/>
      <c r="X205" s="44">
        <v>46186</v>
      </c>
      <c r="Y205" s="41" t="s">
        <v>454</v>
      </c>
      <c r="Z205" s="41"/>
      <c r="AA205" s="41"/>
      <c r="AB205" s="41" t="s">
        <v>937</v>
      </c>
      <c r="AC205" s="49"/>
      <c r="AD205" s="49">
        <v>1212</v>
      </c>
      <c r="AE205" s="50"/>
      <c r="AF205" s="51"/>
      <c r="AG205" s="51"/>
      <c r="AH205" s="52"/>
      <c r="AI205" s="52"/>
      <c r="AJ205" s="53"/>
      <c r="AK205" s="52"/>
      <c r="AL205" s="43">
        <v>18</v>
      </c>
      <c r="AM205" s="168" t="s">
        <v>938</v>
      </c>
      <c r="AN205" s="36"/>
      <c r="AO205" s="36"/>
      <c r="AP205" s="37"/>
    </row>
    <row r="206" spans="1:42" s="102" customFormat="1" ht="18.75" customHeight="1" x14ac:dyDescent="0.25">
      <c r="A206" s="150">
        <v>46186</v>
      </c>
      <c r="B206" s="151">
        <f t="shared" si="6"/>
        <v>46186</v>
      </c>
      <c r="C206" s="152" t="s">
        <v>924</v>
      </c>
      <c r="D206" s="153" t="s">
        <v>87</v>
      </c>
      <c r="E206" s="153">
        <v>158</v>
      </c>
      <c r="F206" s="153">
        <v>6</v>
      </c>
      <c r="G206" s="193">
        <v>20518164717</v>
      </c>
      <c r="H206" s="154" t="s">
        <v>118</v>
      </c>
      <c r="I206" s="155"/>
      <c r="J206" s="156"/>
      <c r="K206" s="156">
        <f t="shared" si="7"/>
        <v>-13</v>
      </c>
      <c r="L206" s="156"/>
      <c r="M206" s="156"/>
      <c r="N206" s="156"/>
      <c r="O206" s="156"/>
      <c r="P206" s="157">
        <v>-13</v>
      </c>
      <c r="Q206" s="158"/>
      <c r="R206" s="151">
        <v>46186</v>
      </c>
      <c r="S206" s="152" t="s">
        <v>85</v>
      </c>
      <c r="T206" s="152" t="s">
        <v>86</v>
      </c>
      <c r="U206" s="152">
        <v>31604</v>
      </c>
      <c r="V206" s="48" t="s">
        <v>453</v>
      </c>
      <c r="W206" s="156"/>
      <c r="X206" s="150">
        <v>46186</v>
      </c>
      <c r="Y206" s="41" t="s">
        <v>454</v>
      </c>
      <c r="Z206" s="152"/>
      <c r="AA206" s="152"/>
      <c r="AB206" s="41" t="s">
        <v>937</v>
      </c>
      <c r="AC206" s="49"/>
      <c r="AD206" s="49">
        <v>1212</v>
      </c>
      <c r="AE206" s="159"/>
      <c r="AF206" s="160"/>
      <c r="AG206" s="160"/>
      <c r="AH206" s="161"/>
      <c r="AI206" s="161"/>
      <c r="AJ206" s="162"/>
      <c r="AK206" s="161"/>
      <c r="AL206" s="43">
        <v>18</v>
      </c>
      <c r="AM206" s="168" t="s">
        <v>938</v>
      </c>
      <c r="AN206" s="100"/>
      <c r="AO206" s="100"/>
      <c r="AP206" s="101"/>
    </row>
    <row r="207" spans="1:42" s="38" customFormat="1" ht="18.75" customHeight="1" x14ac:dyDescent="0.25">
      <c r="A207" s="44">
        <v>46186</v>
      </c>
      <c r="B207" s="40">
        <f t="shared" si="6"/>
        <v>46186</v>
      </c>
      <c r="C207" s="41" t="s">
        <v>85</v>
      </c>
      <c r="D207" s="45" t="s">
        <v>86</v>
      </c>
      <c r="E207" s="45">
        <v>31605</v>
      </c>
      <c r="F207" s="45">
        <v>1</v>
      </c>
      <c r="G207" s="191">
        <v>20054412</v>
      </c>
      <c r="H207" s="54" t="s">
        <v>199</v>
      </c>
      <c r="I207" s="42"/>
      <c r="J207" s="43"/>
      <c r="K207" s="43">
        <f t="shared" si="7"/>
        <v>13</v>
      </c>
      <c r="L207" s="43"/>
      <c r="M207" s="43"/>
      <c r="N207" s="43"/>
      <c r="O207" s="43"/>
      <c r="P207" s="46">
        <v>13</v>
      </c>
      <c r="Q207" s="47"/>
      <c r="R207" s="40"/>
      <c r="S207" s="42"/>
      <c r="T207" s="41"/>
      <c r="U207" s="41"/>
      <c r="V207" s="48" t="s">
        <v>453</v>
      </c>
      <c r="W207" s="43"/>
      <c r="X207" s="44">
        <v>46186</v>
      </c>
      <c r="Y207" s="41" t="s">
        <v>454</v>
      </c>
      <c r="Z207" s="41"/>
      <c r="AA207" s="41"/>
      <c r="AB207" s="41" t="s">
        <v>937</v>
      </c>
      <c r="AC207" s="49"/>
      <c r="AD207" s="49">
        <v>1212</v>
      </c>
      <c r="AE207" s="50"/>
      <c r="AF207" s="51"/>
      <c r="AG207" s="51"/>
      <c r="AH207" s="52"/>
      <c r="AI207" s="52"/>
      <c r="AJ207" s="53"/>
      <c r="AK207" s="52"/>
      <c r="AL207" s="43">
        <v>18</v>
      </c>
      <c r="AM207" s="168" t="s">
        <v>938</v>
      </c>
      <c r="AN207" s="36"/>
      <c r="AO207" s="36"/>
      <c r="AP207" s="37"/>
    </row>
    <row r="208" spans="1:42" s="38" customFormat="1" ht="18.75" customHeight="1" x14ac:dyDescent="0.25">
      <c r="A208" s="44">
        <v>46186</v>
      </c>
      <c r="B208" s="40">
        <f t="shared" si="6"/>
        <v>46186</v>
      </c>
      <c r="C208" s="41" t="s">
        <v>85</v>
      </c>
      <c r="D208" s="45" t="s">
        <v>86</v>
      </c>
      <c r="E208" s="45">
        <v>31606</v>
      </c>
      <c r="F208" s="45">
        <v>1</v>
      </c>
      <c r="G208" s="191">
        <v>73443988</v>
      </c>
      <c r="H208" s="54" t="s">
        <v>265</v>
      </c>
      <c r="I208" s="42"/>
      <c r="J208" s="43"/>
      <c r="K208" s="43">
        <f t="shared" si="7"/>
        <v>10.7</v>
      </c>
      <c r="L208" s="43"/>
      <c r="M208" s="43"/>
      <c r="N208" s="43"/>
      <c r="O208" s="43"/>
      <c r="P208" s="46">
        <v>10.7</v>
      </c>
      <c r="Q208" s="47"/>
      <c r="R208" s="40"/>
      <c r="S208" s="42"/>
      <c r="T208" s="41"/>
      <c r="U208" s="41"/>
      <c r="V208" s="48" t="s">
        <v>453</v>
      </c>
      <c r="W208" s="43"/>
      <c r="X208" s="44">
        <v>46186</v>
      </c>
      <c r="Y208" s="41" t="s">
        <v>454</v>
      </c>
      <c r="Z208" s="41"/>
      <c r="AA208" s="41"/>
      <c r="AB208" s="41" t="s">
        <v>937</v>
      </c>
      <c r="AC208" s="49"/>
      <c r="AD208" s="49">
        <v>1212</v>
      </c>
      <c r="AE208" s="50"/>
      <c r="AF208" s="51"/>
      <c r="AG208" s="51"/>
      <c r="AH208" s="52"/>
      <c r="AI208" s="52"/>
      <c r="AJ208" s="53"/>
      <c r="AK208" s="52"/>
      <c r="AL208" s="43">
        <v>18</v>
      </c>
      <c r="AM208" s="168" t="s">
        <v>938</v>
      </c>
      <c r="AN208" s="36"/>
      <c r="AO208" s="36"/>
      <c r="AP208" s="37"/>
    </row>
    <row r="209" spans="1:42" s="38" customFormat="1" ht="18.75" customHeight="1" x14ac:dyDescent="0.25">
      <c r="A209" s="44">
        <v>46186</v>
      </c>
      <c r="B209" s="40">
        <f t="shared" si="6"/>
        <v>46186</v>
      </c>
      <c r="C209" s="41" t="s">
        <v>85</v>
      </c>
      <c r="D209" s="45" t="s">
        <v>86</v>
      </c>
      <c r="E209" s="45">
        <v>31607</v>
      </c>
      <c r="F209" s="45">
        <v>1</v>
      </c>
      <c r="G209" s="191">
        <v>71071758</v>
      </c>
      <c r="H209" s="54" t="s">
        <v>266</v>
      </c>
      <c r="I209" s="42"/>
      <c r="J209" s="43"/>
      <c r="K209" s="43">
        <f t="shared" si="7"/>
        <v>10</v>
      </c>
      <c r="L209" s="43"/>
      <c r="M209" s="43"/>
      <c r="N209" s="43"/>
      <c r="O209" s="43"/>
      <c r="P209" s="46">
        <v>10</v>
      </c>
      <c r="Q209" s="47"/>
      <c r="R209" s="40"/>
      <c r="S209" s="42"/>
      <c r="T209" s="41"/>
      <c r="U209" s="41"/>
      <c r="V209" s="48" t="s">
        <v>453</v>
      </c>
      <c r="W209" s="43"/>
      <c r="X209" s="44">
        <v>46186</v>
      </c>
      <c r="Y209" s="41" t="s">
        <v>454</v>
      </c>
      <c r="Z209" s="41"/>
      <c r="AA209" s="41"/>
      <c r="AB209" s="41" t="s">
        <v>937</v>
      </c>
      <c r="AC209" s="49"/>
      <c r="AD209" s="49">
        <v>1212</v>
      </c>
      <c r="AE209" s="50"/>
      <c r="AF209" s="51"/>
      <c r="AG209" s="51"/>
      <c r="AH209" s="52"/>
      <c r="AI209" s="52"/>
      <c r="AJ209" s="53"/>
      <c r="AK209" s="52"/>
      <c r="AL209" s="43">
        <v>18</v>
      </c>
      <c r="AM209" s="168" t="s">
        <v>938</v>
      </c>
      <c r="AN209" s="36"/>
      <c r="AO209" s="36"/>
      <c r="AP209" s="37"/>
    </row>
    <row r="210" spans="1:42" s="38" customFormat="1" ht="18.75" customHeight="1" x14ac:dyDescent="0.25">
      <c r="A210" s="44">
        <v>46186</v>
      </c>
      <c r="B210" s="40">
        <f t="shared" si="6"/>
        <v>46186</v>
      </c>
      <c r="C210" s="41" t="s">
        <v>85</v>
      </c>
      <c r="D210" s="45" t="s">
        <v>86</v>
      </c>
      <c r="E210" s="45">
        <v>31608</v>
      </c>
      <c r="F210" s="45">
        <v>1</v>
      </c>
      <c r="G210" s="191">
        <v>71071758</v>
      </c>
      <c r="H210" s="54" t="s">
        <v>266</v>
      </c>
      <c r="I210" s="42"/>
      <c r="J210" s="43"/>
      <c r="K210" s="43">
        <f t="shared" si="7"/>
        <v>10</v>
      </c>
      <c r="L210" s="43"/>
      <c r="M210" s="43"/>
      <c r="N210" s="43"/>
      <c r="O210" s="43"/>
      <c r="P210" s="46">
        <v>10</v>
      </c>
      <c r="Q210" s="47"/>
      <c r="R210" s="40"/>
      <c r="S210" s="42"/>
      <c r="T210" s="41"/>
      <c r="U210" s="41"/>
      <c r="V210" s="48" t="s">
        <v>453</v>
      </c>
      <c r="W210" s="43"/>
      <c r="X210" s="44">
        <v>46186</v>
      </c>
      <c r="Y210" s="41" t="s">
        <v>454</v>
      </c>
      <c r="Z210" s="41"/>
      <c r="AA210" s="41"/>
      <c r="AB210" s="41" t="s">
        <v>937</v>
      </c>
      <c r="AC210" s="49"/>
      <c r="AD210" s="49">
        <v>1212</v>
      </c>
      <c r="AE210" s="50"/>
      <c r="AF210" s="51"/>
      <c r="AG210" s="51"/>
      <c r="AH210" s="52"/>
      <c r="AI210" s="52"/>
      <c r="AJ210" s="53"/>
      <c r="AK210" s="52"/>
      <c r="AL210" s="43">
        <v>18</v>
      </c>
      <c r="AM210" s="168" t="s">
        <v>938</v>
      </c>
      <c r="AN210" s="36"/>
      <c r="AO210" s="36"/>
      <c r="AP210" s="37"/>
    </row>
    <row r="211" spans="1:42" s="38" customFormat="1" ht="18.75" customHeight="1" x14ac:dyDescent="0.25">
      <c r="A211" s="44">
        <v>46186</v>
      </c>
      <c r="B211" s="40">
        <f t="shared" si="6"/>
        <v>46186</v>
      </c>
      <c r="C211" s="41" t="s">
        <v>85</v>
      </c>
      <c r="D211" s="45" t="s">
        <v>86</v>
      </c>
      <c r="E211" s="45">
        <v>31609</v>
      </c>
      <c r="F211" s="45">
        <v>1</v>
      </c>
      <c r="G211" s="191">
        <v>19929072</v>
      </c>
      <c r="H211" s="54" t="s">
        <v>100</v>
      </c>
      <c r="I211" s="42"/>
      <c r="J211" s="43"/>
      <c r="K211" s="43">
        <f t="shared" si="7"/>
        <v>13.8</v>
      </c>
      <c r="L211" s="43"/>
      <c r="M211" s="43"/>
      <c r="N211" s="43"/>
      <c r="O211" s="43"/>
      <c r="P211" s="46">
        <v>13.8</v>
      </c>
      <c r="Q211" s="47"/>
      <c r="R211" s="40"/>
      <c r="S211" s="42"/>
      <c r="T211" s="41"/>
      <c r="U211" s="41"/>
      <c r="V211" s="48" t="s">
        <v>453</v>
      </c>
      <c r="W211" s="43"/>
      <c r="X211" s="44">
        <v>46186</v>
      </c>
      <c r="Y211" s="41" t="s">
        <v>454</v>
      </c>
      <c r="Z211" s="41"/>
      <c r="AA211" s="41"/>
      <c r="AB211" s="41" t="s">
        <v>937</v>
      </c>
      <c r="AC211" s="49"/>
      <c r="AD211" s="49">
        <v>1212</v>
      </c>
      <c r="AE211" s="50"/>
      <c r="AF211" s="51"/>
      <c r="AG211" s="51"/>
      <c r="AH211" s="52"/>
      <c r="AI211" s="52"/>
      <c r="AJ211" s="53"/>
      <c r="AK211" s="52"/>
      <c r="AL211" s="43">
        <v>18</v>
      </c>
      <c r="AM211" s="168" t="s">
        <v>938</v>
      </c>
      <c r="AN211" s="36"/>
      <c r="AO211" s="36"/>
      <c r="AP211" s="37"/>
    </row>
    <row r="212" spans="1:42" s="38" customFormat="1" ht="18.75" customHeight="1" x14ac:dyDescent="0.25">
      <c r="A212" s="44">
        <v>46186</v>
      </c>
      <c r="B212" s="40">
        <f t="shared" si="6"/>
        <v>46186</v>
      </c>
      <c r="C212" s="41" t="s">
        <v>85</v>
      </c>
      <c r="D212" s="45" t="s">
        <v>86</v>
      </c>
      <c r="E212" s="45">
        <v>31610</v>
      </c>
      <c r="F212" s="45">
        <v>1</v>
      </c>
      <c r="G212" s="191">
        <v>73697849</v>
      </c>
      <c r="H212" s="54" t="s">
        <v>267</v>
      </c>
      <c r="I212" s="42"/>
      <c r="J212" s="43"/>
      <c r="K212" s="43">
        <f t="shared" si="7"/>
        <v>10.1</v>
      </c>
      <c r="L212" s="43"/>
      <c r="M212" s="43"/>
      <c r="N212" s="43"/>
      <c r="O212" s="43"/>
      <c r="P212" s="46">
        <v>10.1</v>
      </c>
      <c r="Q212" s="47"/>
      <c r="R212" s="40"/>
      <c r="S212" s="42"/>
      <c r="T212" s="41"/>
      <c r="U212" s="41"/>
      <c r="V212" s="48" t="s">
        <v>453</v>
      </c>
      <c r="W212" s="43"/>
      <c r="X212" s="44">
        <v>46186</v>
      </c>
      <c r="Y212" s="41" t="s">
        <v>454</v>
      </c>
      <c r="Z212" s="41"/>
      <c r="AA212" s="41"/>
      <c r="AB212" s="41" t="s">
        <v>937</v>
      </c>
      <c r="AC212" s="49"/>
      <c r="AD212" s="49">
        <v>1212</v>
      </c>
      <c r="AE212" s="50"/>
      <c r="AF212" s="51"/>
      <c r="AG212" s="51"/>
      <c r="AH212" s="52"/>
      <c r="AI212" s="52"/>
      <c r="AJ212" s="53"/>
      <c r="AK212" s="52"/>
      <c r="AL212" s="43">
        <v>18</v>
      </c>
      <c r="AM212" s="168" t="s">
        <v>938</v>
      </c>
      <c r="AN212" s="36"/>
      <c r="AO212" s="36"/>
      <c r="AP212" s="37"/>
    </row>
    <row r="213" spans="1:42" s="38" customFormat="1" ht="18.75" customHeight="1" x14ac:dyDescent="0.25">
      <c r="A213" s="44">
        <v>46186</v>
      </c>
      <c r="B213" s="40">
        <f t="shared" si="6"/>
        <v>46186</v>
      </c>
      <c r="C213" s="41" t="s">
        <v>85</v>
      </c>
      <c r="D213" s="45" t="s">
        <v>86</v>
      </c>
      <c r="E213" s="45">
        <v>31611</v>
      </c>
      <c r="F213" s="45">
        <v>1</v>
      </c>
      <c r="G213" s="191">
        <v>19961734</v>
      </c>
      <c r="H213" s="54" t="s">
        <v>268</v>
      </c>
      <c r="I213" s="42"/>
      <c r="J213" s="43"/>
      <c r="K213" s="43">
        <f t="shared" si="7"/>
        <v>50</v>
      </c>
      <c r="L213" s="43"/>
      <c r="M213" s="43"/>
      <c r="N213" s="43"/>
      <c r="O213" s="43"/>
      <c r="P213" s="46">
        <v>50</v>
      </c>
      <c r="Q213" s="47"/>
      <c r="R213" s="40"/>
      <c r="S213" s="42"/>
      <c r="T213" s="41"/>
      <c r="U213" s="41"/>
      <c r="V213" s="48" t="s">
        <v>453</v>
      </c>
      <c r="W213" s="43"/>
      <c r="X213" s="44">
        <v>46186</v>
      </c>
      <c r="Y213" s="41" t="s">
        <v>454</v>
      </c>
      <c r="Z213" s="41"/>
      <c r="AA213" s="41"/>
      <c r="AB213" s="41" t="s">
        <v>937</v>
      </c>
      <c r="AC213" s="49"/>
      <c r="AD213" s="49">
        <v>1212</v>
      </c>
      <c r="AE213" s="50"/>
      <c r="AF213" s="51"/>
      <c r="AG213" s="51"/>
      <c r="AH213" s="52"/>
      <c r="AI213" s="52"/>
      <c r="AJ213" s="53"/>
      <c r="AK213" s="52"/>
      <c r="AL213" s="43">
        <v>18</v>
      </c>
      <c r="AM213" s="168" t="s">
        <v>938</v>
      </c>
      <c r="AN213" s="36"/>
      <c r="AO213" s="36"/>
      <c r="AP213" s="37"/>
    </row>
    <row r="214" spans="1:42" s="38" customFormat="1" ht="18.75" customHeight="1" x14ac:dyDescent="0.25">
      <c r="A214" s="44">
        <v>46186</v>
      </c>
      <c r="B214" s="40">
        <f t="shared" si="6"/>
        <v>46186</v>
      </c>
      <c r="C214" s="41" t="s">
        <v>85</v>
      </c>
      <c r="D214" s="45" t="s">
        <v>86</v>
      </c>
      <c r="E214" s="45">
        <v>31612</v>
      </c>
      <c r="F214" s="45">
        <v>1</v>
      </c>
      <c r="G214" s="191">
        <v>40693488</v>
      </c>
      <c r="H214" s="54" t="s">
        <v>269</v>
      </c>
      <c r="I214" s="42"/>
      <c r="J214" s="43"/>
      <c r="K214" s="43">
        <f t="shared" si="7"/>
        <v>73.5</v>
      </c>
      <c r="L214" s="43"/>
      <c r="M214" s="43"/>
      <c r="N214" s="43"/>
      <c r="O214" s="43"/>
      <c r="P214" s="46">
        <v>73.5</v>
      </c>
      <c r="Q214" s="47"/>
      <c r="R214" s="40"/>
      <c r="S214" s="42"/>
      <c r="T214" s="41"/>
      <c r="U214" s="41"/>
      <c r="V214" s="48" t="s">
        <v>453</v>
      </c>
      <c r="W214" s="43"/>
      <c r="X214" s="44">
        <v>46186</v>
      </c>
      <c r="Y214" s="41" t="s">
        <v>454</v>
      </c>
      <c r="Z214" s="41"/>
      <c r="AA214" s="41"/>
      <c r="AB214" s="41" t="s">
        <v>937</v>
      </c>
      <c r="AC214" s="49"/>
      <c r="AD214" s="49">
        <v>1212</v>
      </c>
      <c r="AE214" s="50"/>
      <c r="AF214" s="51"/>
      <c r="AG214" s="51"/>
      <c r="AH214" s="52"/>
      <c r="AI214" s="52"/>
      <c r="AJ214" s="53"/>
      <c r="AK214" s="52"/>
      <c r="AL214" s="43">
        <v>18</v>
      </c>
      <c r="AM214" s="168" t="s">
        <v>938</v>
      </c>
      <c r="AN214" s="36"/>
      <c r="AO214" s="36"/>
      <c r="AP214" s="37"/>
    </row>
    <row r="215" spans="1:42" s="38" customFormat="1" ht="18.75" customHeight="1" x14ac:dyDescent="0.25">
      <c r="A215" s="44">
        <v>46186</v>
      </c>
      <c r="B215" s="40">
        <f t="shared" si="6"/>
        <v>46186</v>
      </c>
      <c r="C215" s="41" t="s">
        <v>85</v>
      </c>
      <c r="D215" s="45" t="s">
        <v>86</v>
      </c>
      <c r="E215" s="45">
        <v>31613</v>
      </c>
      <c r="F215" s="45">
        <v>1</v>
      </c>
      <c r="G215" s="191">
        <v>20106302</v>
      </c>
      <c r="H215" s="54" t="s">
        <v>270</v>
      </c>
      <c r="I215" s="42"/>
      <c r="J215" s="43"/>
      <c r="K215" s="43">
        <f t="shared" si="7"/>
        <v>10</v>
      </c>
      <c r="L215" s="43"/>
      <c r="M215" s="43"/>
      <c r="N215" s="43"/>
      <c r="O215" s="43"/>
      <c r="P215" s="46">
        <v>10</v>
      </c>
      <c r="Q215" s="47"/>
      <c r="R215" s="40"/>
      <c r="S215" s="42"/>
      <c r="T215" s="41"/>
      <c r="U215" s="41"/>
      <c r="V215" s="48" t="s">
        <v>453</v>
      </c>
      <c r="W215" s="43"/>
      <c r="X215" s="44">
        <v>46186</v>
      </c>
      <c r="Y215" s="41" t="s">
        <v>454</v>
      </c>
      <c r="Z215" s="41"/>
      <c r="AA215" s="41"/>
      <c r="AB215" s="41" t="s">
        <v>937</v>
      </c>
      <c r="AC215" s="49"/>
      <c r="AD215" s="49">
        <v>1212</v>
      </c>
      <c r="AE215" s="50"/>
      <c r="AF215" s="51"/>
      <c r="AG215" s="51"/>
      <c r="AH215" s="52"/>
      <c r="AI215" s="52"/>
      <c r="AJ215" s="53"/>
      <c r="AK215" s="52"/>
      <c r="AL215" s="43">
        <v>18</v>
      </c>
      <c r="AM215" s="168" t="s">
        <v>938</v>
      </c>
      <c r="AN215" s="36"/>
      <c r="AO215" s="36"/>
      <c r="AP215" s="37"/>
    </row>
    <row r="216" spans="1:42" s="38" customFormat="1" ht="18.75" customHeight="1" x14ac:dyDescent="0.25">
      <c r="A216" s="44">
        <v>46186</v>
      </c>
      <c r="B216" s="40">
        <f t="shared" si="6"/>
        <v>46186</v>
      </c>
      <c r="C216" s="41" t="s">
        <v>85</v>
      </c>
      <c r="D216" s="45" t="s">
        <v>86</v>
      </c>
      <c r="E216" s="45">
        <v>31614</v>
      </c>
      <c r="F216" s="45">
        <v>1</v>
      </c>
      <c r="G216" s="191">
        <v>73783617</v>
      </c>
      <c r="H216" s="54" t="s">
        <v>271</v>
      </c>
      <c r="I216" s="42"/>
      <c r="J216" s="43"/>
      <c r="K216" s="43">
        <f t="shared" si="7"/>
        <v>6.7</v>
      </c>
      <c r="L216" s="43"/>
      <c r="M216" s="43"/>
      <c r="N216" s="43"/>
      <c r="O216" s="43"/>
      <c r="P216" s="46">
        <v>6.7</v>
      </c>
      <c r="Q216" s="47"/>
      <c r="R216" s="40"/>
      <c r="S216" s="42"/>
      <c r="T216" s="41"/>
      <c r="U216" s="41"/>
      <c r="V216" s="48" t="s">
        <v>453</v>
      </c>
      <c r="W216" s="43"/>
      <c r="X216" s="44">
        <v>46186</v>
      </c>
      <c r="Y216" s="41" t="s">
        <v>454</v>
      </c>
      <c r="Z216" s="41"/>
      <c r="AA216" s="41"/>
      <c r="AB216" s="41" t="s">
        <v>937</v>
      </c>
      <c r="AC216" s="49"/>
      <c r="AD216" s="49">
        <v>1212</v>
      </c>
      <c r="AE216" s="50"/>
      <c r="AF216" s="51"/>
      <c r="AG216" s="51"/>
      <c r="AH216" s="52"/>
      <c r="AI216" s="52"/>
      <c r="AJ216" s="53"/>
      <c r="AK216" s="52"/>
      <c r="AL216" s="43">
        <v>18</v>
      </c>
      <c r="AM216" s="168" t="s">
        <v>938</v>
      </c>
      <c r="AN216" s="36"/>
      <c r="AO216" s="36"/>
      <c r="AP216" s="37"/>
    </row>
    <row r="217" spans="1:42" s="38" customFormat="1" ht="18.75" customHeight="1" x14ac:dyDescent="0.25">
      <c r="A217" s="44">
        <v>46186</v>
      </c>
      <c r="B217" s="40">
        <f t="shared" si="6"/>
        <v>46186</v>
      </c>
      <c r="C217" s="41" t="s">
        <v>85</v>
      </c>
      <c r="D217" s="45" t="s">
        <v>86</v>
      </c>
      <c r="E217" s="45">
        <v>31616</v>
      </c>
      <c r="F217" s="45">
        <v>1</v>
      </c>
      <c r="G217" s="191">
        <v>20667108</v>
      </c>
      <c r="H217" s="54" t="s">
        <v>272</v>
      </c>
      <c r="I217" s="42"/>
      <c r="J217" s="43"/>
      <c r="K217" s="43">
        <f t="shared" si="7"/>
        <v>35</v>
      </c>
      <c r="L217" s="43"/>
      <c r="M217" s="43"/>
      <c r="N217" s="43"/>
      <c r="O217" s="43"/>
      <c r="P217" s="46">
        <v>35</v>
      </c>
      <c r="Q217" s="47"/>
      <c r="R217" s="40"/>
      <c r="S217" s="42"/>
      <c r="T217" s="41"/>
      <c r="U217" s="41"/>
      <c r="V217" s="48" t="s">
        <v>453</v>
      </c>
      <c r="W217" s="43"/>
      <c r="X217" s="44">
        <v>46186</v>
      </c>
      <c r="Y217" s="41" t="s">
        <v>454</v>
      </c>
      <c r="Z217" s="41"/>
      <c r="AA217" s="41"/>
      <c r="AB217" s="41" t="s">
        <v>937</v>
      </c>
      <c r="AC217" s="49"/>
      <c r="AD217" s="49">
        <v>1212</v>
      </c>
      <c r="AE217" s="50"/>
      <c r="AF217" s="51"/>
      <c r="AG217" s="51"/>
      <c r="AH217" s="52"/>
      <c r="AI217" s="52"/>
      <c r="AJ217" s="53"/>
      <c r="AK217" s="52"/>
      <c r="AL217" s="43">
        <v>18</v>
      </c>
      <c r="AM217" s="168" t="s">
        <v>938</v>
      </c>
      <c r="AN217" s="36"/>
      <c r="AO217" s="36"/>
      <c r="AP217" s="37"/>
    </row>
    <row r="218" spans="1:42" s="38" customFormat="1" ht="18.75" customHeight="1" x14ac:dyDescent="0.25">
      <c r="A218" s="44">
        <v>46186</v>
      </c>
      <c r="B218" s="40">
        <f t="shared" si="6"/>
        <v>46186</v>
      </c>
      <c r="C218" s="41" t="s">
        <v>85</v>
      </c>
      <c r="D218" s="45" t="s">
        <v>86</v>
      </c>
      <c r="E218" s="45">
        <v>31617</v>
      </c>
      <c r="F218" s="45">
        <v>1</v>
      </c>
      <c r="G218" s="191">
        <v>41365794</v>
      </c>
      <c r="H218" s="54" t="s">
        <v>273</v>
      </c>
      <c r="I218" s="42"/>
      <c r="J218" s="43"/>
      <c r="K218" s="43">
        <f t="shared" si="7"/>
        <v>5.7</v>
      </c>
      <c r="L218" s="43"/>
      <c r="M218" s="43"/>
      <c r="N218" s="43"/>
      <c r="O218" s="43"/>
      <c r="P218" s="46">
        <v>5.7</v>
      </c>
      <c r="Q218" s="47"/>
      <c r="R218" s="40"/>
      <c r="S218" s="42"/>
      <c r="T218" s="41"/>
      <c r="U218" s="41"/>
      <c r="V218" s="48" t="s">
        <v>453</v>
      </c>
      <c r="W218" s="43"/>
      <c r="X218" s="44">
        <v>46186</v>
      </c>
      <c r="Y218" s="41" t="s">
        <v>454</v>
      </c>
      <c r="Z218" s="41"/>
      <c r="AA218" s="41"/>
      <c r="AB218" s="41" t="s">
        <v>937</v>
      </c>
      <c r="AC218" s="49"/>
      <c r="AD218" s="49">
        <v>1212</v>
      </c>
      <c r="AE218" s="50"/>
      <c r="AF218" s="51"/>
      <c r="AG218" s="51"/>
      <c r="AH218" s="52"/>
      <c r="AI218" s="52"/>
      <c r="AJ218" s="53"/>
      <c r="AK218" s="52"/>
      <c r="AL218" s="43">
        <v>18</v>
      </c>
      <c r="AM218" s="168" t="s">
        <v>938</v>
      </c>
      <c r="AN218" s="36"/>
      <c r="AO218" s="36"/>
      <c r="AP218" s="37"/>
    </row>
    <row r="219" spans="1:42" s="38" customFormat="1" ht="18.75" customHeight="1" x14ac:dyDescent="0.25">
      <c r="A219" s="44">
        <v>46186</v>
      </c>
      <c r="B219" s="40">
        <f t="shared" si="6"/>
        <v>46186</v>
      </c>
      <c r="C219" s="41" t="s">
        <v>85</v>
      </c>
      <c r="D219" s="45" t="s">
        <v>86</v>
      </c>
      <c r="E219" s="45">
        <v>31618</v>
      </c>
      <c r="F219" s="45">
        <v>1</v>
      </c>
      <c r="G219" s="191">
        <v>19804408</v>
      </c>
      <c r="H219" s="54" t="s">
        <v>274</v>
      </c>
      <c r="I219" s="42"/>
      <c r="J219" s="43"/>
      <c r="K219" s="43">
        <f t="shared" si="7"/>
        <v>2</v>
      </c>
      <c r="L219" s="43"/>
      <c r="M219" s="43"/>
      <c r="N219" s="43"/>
      <c r="O219" s="43"/>
      <c r="P219" s="46">
        <v>2</v>
      </c>
      <c r="Q219" s="47"/>
      <c r="R219" s="40"/>
      <c r="S219" s="42"/>
      <c r="T219" s="41"/>
      <c r="U219" s="41"/>
      <c r="V219" s="48" t="s">
        <v>453</v>
      </c>
      <c r="W219" s="43"/>
      <c r="X219" s="44">
        <v>46186</v>
      </c>
      <c r="Y219" s="41" t="s">
        <v>454</v>
      </c>
      <c r="Z219" s="41"/>
      <c r="AA219" s="41"/>
      <c r="AB219" s="41" t="s">
        <v>937</v>
      </c>
      <c r="AC219" s="49"/>
      <c r="AD219" s="49">
        <v>1212</v>
      </c>
      <c r="AE219" s="50"/>
      <c r="AF219" s="51"/>
      <c r="AG219" s="51"/>
      <c r="AH219" s="52"/>
      <c r="AI219" s="52"/>
      <c r="AJ219" s="53"/>
      <c r="AK219" s="52"/>
      <c r="AL219" s="43">
        <v>18</v>
      </c>
      <c r="AM219" s="168" t="s">
        <v>938</v>
      </c>
      <c r="AN219" s="36"/>
      <c r="AO219" s="36"/>
      <c r="AP219" s="37"/>
    </row>
    <row r="220" spans="1:42" s="38" customFormat="1" ht="18.75" customHeight="1" x14ac:dyDescent="0.25">
      <c r="A220" s="44">
        <v>46186</v>
      </c>
      <c r="B220" s="40">
        <f t="shared" si="6"/>
        <v>46186</v>
      </c>
      <c r="C220" s="41" t="s">
        <v>85</v>
      </c>
      <c r="D220" s="45" t="s">
        <v>86</v>
      </c>
      <c r="E220" s="45">
        <v>31615</v>
      </c>
      <c r="F220" s="45">
        <v>1</v>
      </c>
      <c r="G220" s="191">
        <v>48142316</v>
      </c>
      <c r="H220" s="54" t="s">
        <v>275</v>
      </c>
      <c r="I220" s="42"/>
      <c r="J220" s="43"/>
      <c r="K220" s="43">
        <f t="shared" si="7"/>
        <v>7.5</v>
      </c>
      <c r="L220" s="43"/>
      <c r="M220" s="43"/>
      <c r="N220" s="43"/>
      <c r="O220" s="43"/>
      <c r="P220" s="46">
        <v>7.5</v>
      </c>
      <c r="Q220" s="47"/>
      <c r="R220" s="40"/>
      <c r="S220" s="42"/>
      <c r="T220" s="41"/>
      <c r="U220" s="41"/>
      <c r="V220" s="48" t="s">
        <v>453</v>
      </c>
      <c r="W220" s="43"/>
      <c r="X220" s="44">
        <v>46186</v>
      </c>
      <c r="Y220" s="41" t="s">
        <v>454</v>
      </c>
      <c r="Z220" s="41"/>
      <c r="AA220" s="41"/>
      <c r="AB220" s="41" t="s">
        <v>937</v>
      </c>
      <c r="AC220" s="49"/>
      <c r="AD220" s="49">
        <v>1212</v>
      </c>
      <c r="AE220" s="50"/>
      <c r="AF220" s="51"/>
      <c r="AG220" s="51"/>
      <c r="AH220" s="52"/>
      <c r="AI220" s="52"/>
      <c r="AJ220" s="53"/>
      <c r="AK220" s="52"/>
      <c r="AL220" s="43">
        <v>18</v>
      </c>
      <c r="AM220" s="168" t="s">
        <v>938</v>
      </c>
      <c r="AN220" s="36"/>
      <c r="AO220" s="36"/>
      <c r="AP220" s="37"/>
    </row>
    <row r="221" spans="1:42" s="38" customFormat="1" ht="18.75" customHeight="1" x14ac:dyDescent="0.25">
      <c r="A221" s="44">
        <v>46188</v>
      </c>
      <c r="B221" s="40">
        <f t="shared" si="6"/>
        <v>46188</v>
      </c>
      <c r="C221" s="41" t="s">
        <v>85</v>
      </c>
      <c r="D221" s="45" t="s">
        <v>86</v>
      </c>
      <c r="E221" s="45">
        <v>31619</v>
      </c>
      <c r="F221" s="45">
        <v>6</v>
      </c>
      <c r="G221" s="191">
        <v>20512071733</v>
      </c>
      <c r="H221" s="54" t="s">
        <v>276</v>
      </c>
      <c r="I221" s="42"/>
      <c r="J221" s="43"/>
      <c r="K221" s="43">
        <f t="shared" si="7"/>
        <v>11.4</v>
      </c>
      <c r="L221" s="43"/>
      <c r="M221" s="43"/>
      <c r="N221" s="43"/>
      <c r="O221" s="43"/>
      <c r="P221" s="46">
        <v>11.4</v>
      </c>
      <c r="Q221" s="47"/>
      <c r="R221" s="40"/>
      <c r="S221" s="42"/>
      <c r="T221" s="41"/>
      <c r="U221" s="41"/>
      <c r="V221" s="48" t="s">
        <v>453</v>
      </c>
      <c r="W221" s="43"/>
      <c r="X221" s="44">
        <v>46188</v>
      </c>
      <c r="Y221" s="41" t="s">
        <v>454</v>
      </c>
      <c r="Z221" s="41"/>
      <c r="AA221" s="41"/>
      <c r="AB221" s="41" t="s">
        <v>937</v>
      </c>
      <c r="AC221" s="49"/>
      <c r="AD221" s="49">
        <v>1212</v>
      </c>
      <c r="AE221" s="50"/>
      <c r="AF221" s="51"/>
      <c r="AG221" s="51"/>
      <c r="AH221" s="52"/>
      <c r="AI221" s="52"/>
      <c r="AJ221" s="53"/>
      <c r="AK221" s="52"/>
      <c r="AL221" s="43">
        <v>18</v>
      </c>
      <c r="AM221" s="168" t="s">
        <v>938</v>
      </c>
      <c r="AN221" s="36"/>
      <c r="AO221" s="36"/>
      <c r="AP221" s="37"/>
    </row>
    <row r="222" spans="1:42" s="38" customFormat="1" ht="18.75" customHeight="1" x14ac:dyDescent="0.25">
      <c r="A222" s="44">
        <v>46188</v>
      </c>
      <c r="B222" s="40">
        <f t="shared" si="6"/>
        <v>46188</v>
      </c>
      <c r="C222" s="41" t="s">
        <v>85</v>
      </c>
      <c r="D222" s="45" t="s">
        <v>86</v>
      </c>
      <c r="E222" s="45">
        <v>31620</v>
      </c>
      <c r="F222" s="45">
        <v>6</v>
      </c>
      <c r="G222" s="191">
        <v>20568173016</v>
      </c>
      <c r="H222" s="54" t="s">
        <v>116</v>
      </c>
      <c r="I222" s="42"/>
      <c r="J222" s="43"/>
      <c r="K222" s="43">
        <f t="shared" si="7"/>
        <v>50</v>
      </c>
      <c r="L222" s="43"/>
      <c r="M222" s="43"/>
      <c r="N222" s="43"/>
      <c r="O222" s="43"/>
      <c r="P222" s="46">
        <v>50</v>
      </c>
      <c r="Q222" s="47"/>
      <c r="R222" s="40"/>
      <c r="S222" s="42"/>
      <c r="T222" s="41"/>
      <c r="U222" s="41"/>
      <c r="V222" s="48" t="s">
        <v>453</v>
      </c>
      <c r="W222" s="43"/>
      <c r="X222" s="44">
        <v>46188</v>
      </c>
      <c r="Y222" s="41" t="s">
        <v>454</v>
      </c>
      <c r="Z222" s="41"/>
      <c r="AA222" s="41"/>
      <c r="AB222" s="41" t="s">
        <v>937</v>
      </c>
      <c r="AC222" s="49"/>
      <c r="AD222" s="49">
        <v>1212</v>
      </c>
      <c r="AE222" s="50"/>
      <c r="AF222" s="51"/>
      <c r="AG222" s="51"/>
      <c r="AH222" s="52"/>
      <c r="AI222" s="52"/>
      <c r="AJ222" s="53"/>
      <c r="AK222" s="52"/>
      <c r="AL222" s="43">
        <v>18</v>
      </c>
      <c r="AM222" s="168" t="s">
        <v>938</v>
      </c>
      <c r="AN222" s="36"/>
      <c r="AO222" s="36"/>
      <c r="AP222" s="37"/>
    </row>
    <row r="223" spans="1:42" s="38" customFormat="1" ht="18.75" customHeight="1" x14ac:dyDescent="0.25">
      <c r="A223" s="44">
        <v>46188</v>
      </c>
      <c r="B223" s="40">
        <f t="shared" si="6"/>
        <v>46188</v>
      </c>
      <c r="C223" s="41" t="s">
        <v>85</v>
      </c>
      <c r="D223" s="45" t="s">
        <v>86</v>
      </c>
      <c r="E223" s="45">
        <v>31621</v>
      </c>
      <c r="F223" s="45">
        <v>6</v>
      </c>
      <c r="G223" s="191">
        <v>20602215637</v>
      </c>
      <c r="H223" s="54" t="s">
        <v>146</v>
      </c>
      <c r="I223" s="42"/>
      <c r="J223" s="43"/>
      <c r="K223" s="43">
        <f t="shared" si="7"/>
        <v>100</v>
      </c>
      <c r="L223" s="43"/>
      <c r="M223" s="43"/>
      <c r="N223" s="43"/>
      <c r="O223" s="43"/>
      <c r="P223" s="46">
        <v>100</v>
      </c>
      <c r="Q223" s="47"/>
      <c r="R223" s="40"/>
      <c r="S223" s="42"/>
      <c r="T223" s="41"/>
      <c r="U223" s="41"/>
      <c r="V223" s="48" t="s">
        <v>453</v>
      </c>
      <c r="W223" s="43"/>
      <c r="X223" s="44">
        <v>46188</v>
      </c>
      <c r="Y223" s="41" t="s">
        <v>454</v>
      </c>
      <c r="Z223" s="41"/>
      <c r="AA223" s="41"/>
      <c r="AB223" s="41" t="s">
        <v>937</v>
      </c>
      <c r="AC223" s="49"/>
      <c r="AD223" s="49">
        <v>1212</v>
      </c>
      <c r="AE223" s="50"/>
      <c r="AF223" s="51"/>
      <c r="AG223" s="51"/>
      <c r="AH223" s="52"/>
      <c r="AI223" s="52"/>
      <c r="AJ223" s="53"/>
      <c r="AK223" s="52"/>
      <c r="AL223" s="43">
        <v>18</v>
      </c>
      <c r="AM223" s="168" t="s">
        <v>938</v>
      </c>
      <c r="AN223" s="36"/>
      <c r="AO223" s="36"/>
      <c r="AP223" s="37"/>
    </row>
    <row r="224" spans="1:42" s="38" customFormat="1" ht="18.75" customHeight="1" x14ac:dyDescent="0.25">
      <c r="A224" s="44">
        <v>46188</v>
      </c>
      <c r="B224" s="40">
        <f t="shared" si="6"/>
        <v>46188</v>
      </c>
      <c r="C224" s="41" t="s">
        <v>85</v>
      </c>
      <c r="D224" s="45" t="s">
        <v>86</v>
      </c>
      <c r="E224" s="45">
        <v>31622</v>
      </c>
      <c r="F224" s="45">
        <v>6</v>
      </c>
      <c r="G224" s="191">
        <v>20612437298</v>
      </c>
      <c r="H224" s="54" t="s">
        <v>179</v>
      </c>
      <c r="I224" s="42"/>
      <c r="J224" s="43"/>
      <c r="K224" s="43">
        <f t="shared" si="7"/>
        <v>9.6</v>
      </c>
      <c r="L224" s="43"/>
      <c r="M224" s="43"/>
      <c r="N224" s="43"/>
      <c r="O224" s="43"/>
      <c r="P224" s="46">
        <v>9.6</v>
      </c>
      <c r="Q224" s="47"/>
      <c r="R224" s="40"/>
      <c r="S224" s="42"/>
      <c r="T224" s="41"/>
      <c r="U224" s="41"/>
      <c r="V224" s="48" t="s">
        <v>453</v>
      </c>
      <c r="W224" s="43"/>
      <c r="X224" s="44">
        <v>46188</v>
      </c>
      <c r="Y224" s="41" t="s">
        <v>454</v>
      </c>
      <c r="Z224" s="41"/>
      <c r="AA224" s="41"/>
      <c r="AB224" s="41" t="s">
        <v>937</v>
      </c>
      <c r="AC224" s="49"/>
      <c r="AD224" s="49">
        <v>1212</v>
      </c>
      <c r="AE224" s="50"/>
      <c r="AF224" s="51"/>
      <c r="AG224" s="51"/>
      <c r="AH224" s="52"/>
      <c r="AI224" s="52"/>
      <c r="AJ224" s="53"/>
      <c r="AK224" s="52"/>
      <c r="AL224" s="43">
        <v>18</v>
      </c>
      <c r="AM224" s="168" t="s">
        <v>938</v>
      </c>
      <c r="AN224" s="36"/>
      <c r="AO224" s="36"/>
      <c r="AP224" s="37"/>
    </row>
    <row r="225" spans="1:42" s="38" customFormat="1" ht="18.75" customHeight="1" x14ac:dyDescent="0.25">
      <c r="A225" s="44">
        <v>46188</v>
      </c>
      <c r="B225" s="40">
        <f t="shared" si="6"/>
        <v>46188</v>
      </c>
      <c r="C225" s="41" t="s">
        <v>85</v>
      </c>
      <c r="D225" s="45" t="s">
        <v>86</v>
      </c>
      <c r="E225" s="45">
        <v>31623</v>
      </c>
      <c r="F225" s="45">
        <v>1</v>
      </c>
      <c r="G225" s="191">
        <v>19998981</v>
      </c>
      <c r="H225" s="54" t="s">
        <v>277</v>
      </c>
      <c r="I225" s="42"/>
      <c r="J225" s="43"/>
      <c r="K225" s="43">
        <f t="shared" si="7"/>
        <v>131.69999999999999</v>
      </c>
      <c r="L225" s="43"/>
      <c r="M225" s="43"/>
      <c r="N225" s="43"/>
      <c r="O225" s="43"/>
      <c r="P225" s="46">
        <v>131.69999999999999</v>
      </c>
      <c r="Q225" s="47"/>
      <c r="R225" s="40"/>
      <c r="S225" s="42"/>
      <c r="T225" s="41"/>
      <c r="U225" s="41"/>
      <c r="V225" s="48" t="s">
        <v>453</v>
      </c>
      <c r="W225" s="43"/>
      <c r="X225" s="44">
        <v>46188</v>
      </c>
      <c r="Y225" s="41" t="s">
        <v>454</v>
      </c>
      <c r="Z225" s="41"/>
      <c r="AA225" s="41"/>
      <c r="AB225" s="41" t="s">
        <v>937</v>
      </c>
      <c r="AC225" s="49"/>
      <c r="AD225" s="49">
        <v>1212</v>
      </c>
      <c r="AE225" s="50"/>
      <c r="AF225" s="51"/>
      <c r="AG225" s="51"/>
      <c r="AH225" s="52"/>
      <c r="AI225" s="52"/>
      <c r="AJ225" s="53"/>
      <c r="AK225" s="52"/>
      <c r="AL225" s="43">
        <v>18</v>
      </c>
      <c r="AM225" s="168" t="s">
        <v>938</v>
      </c>
      <c r="AN225" s="36"/>
      <c r="AO225" s="36"/>
      <c r="AP225" s="37"/>
    </row>
    <row r="226" spans="1:42" s="38" customFormat="1" ht="18.75" customHeight="1" x14ac:dyDescent="0.25">
      <c r="A226" s="44">
        <v>46188</v>
      </c>
      <c r="B226" s="40">
        <f t="shared" si="6"/>
        <v>46188</v>
      </c>
      <c r="C226" s="41" t="s">
        <v>85</v>
      </c>
      <c r="D226" s="45" t="s">
        <v>86</v>
      </c>
      <c r="E226" s="45">
        <v>31624</v>
      </c>
      <c r="F226" s="45">
        <v>1</v>
      </c>
      <c r="G226" s="191">
        <v>23249175</v>
      </c>
      <c r="H226" s="54" t="s">
        <v>278</v>
      </c>
      <c r="I226" s="42"/>
      <c r="J226" s="43"/>
      <c r="K226" s="43">
        <f t="shared" si="7"/>
        <v>53.1</v>
      </c>
      <c r="L226" s="43"/>
      <c r="M226" s="43"/>
      <c r="N226" s="43"/>
      <c r="O226" s="43"/>
      <c r="P226" s="46">
        <v>53.1</v>
      </c>
      <c r="Q226" s="47"/>
      <c r="R226" s="40"/>
      <c r="S226" s="42"/>
      <c r="T226" s="41"/>
      <c r="U226" s="41"/>
      <c r="V226" s="48" t="s">
        <v>453</v>
      </c>
      <c r="W226" s="43"/>
      <c r="X226" s="44">
        <v>46188</v>
      </c>
      <c r="Y226" s="41" t="s">
        <v>454</v>
      </c>
      <c r="Z226" s="41"/>
      <c r="AA226" s="41"/>
      <c r="AB226" s="41" t="s">
        <v>937</v>
      </c>
      <c r="AC226" s="49"/>
      <c r="AD226" s="49">
        <v>1212</v>
      </c>
      <c r="AE226" s="50"/>
      <c r="AF226" s="51"/>
      <c r="AG226" s="51"/>
      <c r="AH226" s="52"/>
      <c r="AI226" s="52"/>
      <c r="AJ226" s="53"/>
      <c r="AK226" s="52"/>
      <c r="AL226" s="43">
        <v>18</v>
      </c>
      <c r="AM226" s="168" t="s">
        <v>938</v>
      </c>
      <c r="AN226" s="36"/>
      <c r="AO226" s="36"/>
      <c r="AP226" s="37"/>
    </row>
    <row r="227" spans="1:42" s="38" customFormat="1" ht="18.75" customHeight="1" x14ac:dyDescent="0.25">
      <c r="A227" s="44">
        <v>46188</v>
      </c>
      <c r="B227" s="40">
        <f t="shared" si="6"/>
        <v>46188</v>
      </c>
      <c r="C227" s="41" t="s">
        <v>85</v>
      </c>
      <c r="D227" s="45" t="s">
        <v>86</v>
      </c>
      <c r="E227" s="45">
        <v>31625</v>
      </c>
      <c r="F227" s="45">
        <v>1</v>
      </c>
      <c r="G227" s="191">
        <v>20000656</v>
      </c>
      <c r="H227" s="54" t="s">
        <v>279</v>
      </c>
      <c r="I227" s="42"/>
      <c r="J227" s="43"/>
      <c r="K227" s="43">
        <f t="shared" si="7"/>
        <v>117.9</v>
      </c>
      <c r="L227" s="43"/>
      <c r="M227" s="43"/>
      <c r="N227" s="43"/>
      <c r="O227" s="43"/>
      <c r="P227" s="46">
        <v>117.9</v>
      </c>
      <c r="Q227" s="47"/>
      <c r="R227" s="40"/>
      <c r="S227" s="42"/>
      <c r="T227" s="41"/>
      <c r="U227" s="41"/>
      <c r="V227" s="48" t="s">
        <v>453</v>
      </c>
      <c r="W227" s="43"/>
      <c r="X227" s="44">
        <v>46188</v>
      </c>
      <c r="Y227" s="41" t="s">
        <v>454</v>
      </c>
      <c r="Z227" s="41"/>
      <c r="AA227" s="41"/>
      <c r="AB227" s="41" t="s">
        <v>937</v>
      </c>
      <c r="AC227" s="49"/>
      <c r="AD227" s="49">
        <v>1212</v>
      </c>
      <c r="AE227" s="50"/>
      <c r="AF227" s="51"/>
      <c r="AG227" s="51"/>
      <c r="AH227" s="52"/>
      <c r="AI227" s="52"/>
      <c r="AJ227" s="53"/>
      <c r="AK227" s="52"/>
      <c r="AL227" s="43">
        <v>18</v>
      </c>
      <c r="AM227" s="168" t="s">
        <v>938</v>
      </c>
      <c r="AN227" s="36"/>
      <c r="AO227" s="36"/>
      <c r="AP227" s="37"/>
    </row>
    <row r="228" spans="1:42" s="38" customFormat="1" ht="18.75" customHeight="1" x14ac:dyDescent="0.25">
      <c r="A228" s="44">
        <v>46188</v>
      </c>
      <c r="B228" s="40">
        <f t="shared" si="6"/>
        <v>46188</v>
      </c>
      <c r="C228" s="41" t="s">
        <v>85</v>
      </c>
      <c r="D228" s="45" t="s">
        <v>86</v>
      </c>
      <c r="E228" s="45">
        <v>31626</v>
      </c>
      <c r="F228" s="45">
        <v>1</v>
      </c>
      <c r="G228" s="191">
        <v>19806245</v>
      </c>
      <c r="H228" s="54" t="s">
        <v>280</v>
      </c>
      <c r="I228" s="42"/>
      <c r="J228" s="43"/>
      <c r="K228" s="43">
        <f t="shared" si="7"/>
        <v>25</v>
      </c>
      <c r="L228" s="43"/>
      <c r="M228" s="43"/>
      <c r="N228" s="43"/>
      <c r="O228" s="43"/>
      <c r="P228" s="46">
        <v>25</v>
      </c>
      <c r="Q228" s="47"/>
      <c r="R228" s="40"/>
      <c r="S228" s="42"/>
      <c r="T228" s="41"/>
      <c r="U228" s="41"/>
      <c r="V228" s="48" t="s">
        <v>453</v>
      </c>
      <c r="W228" s="43"/>
      <c r="X228" s="44">
        <v>46188</v>
      </c>
      <c r="Y228" s="41" t="s">
        <v>454</v>
      </c>
      <c r="Z228" s="41"/>
      <c r="AA228" s="41"/>
      <c r="AB228" s="41" t="s">
        <v>937</v>
      </c>
      <c r="AC228" s="49"/>
      <c r="AD228" s="49">
        <v>1212</v>
      </c>
      <c r="AE228" s="50"/>
      <c r="AF228" s="51"/>
      <c r="AG228" s="51"/>
      <c r="AH228" s="52"/>
      <c r="AI228" s="52"/>
      <c r="AJ228" s="53"/>
      <c r="AK228" s="52"/>
      <c r="AL228" s="43">
        <v>18</v>
      </c>
      <c r="AM228" s="168" t="s">
        <v>938</v>
      </c>
      <c r="AN228" s="36"/>
      <c r="AO228" s="36"/>
      <c r="AP228" s="37"/>
    </row>
    <row r="229" spans="1:42" s="38" customFormat="1" ht="18.75" customHeight="1" x14ac:dyDescent="0.25">
      <c r="A229" s="44">
        <v>46188</v>
      </c>
      <c r="B229" s="40">
        <f t="shared" si="6"/>
        <v>46188</v>
      </c>
      <c r="C229" s="41" t="s">
        <v>85</v>
      </c>
      <c r="D229" s="45" t="s">
        <v>86</v>
      </c>
      <c r="E229" s="45">
        <v>31627</v>
      </c>
      <c r="F229" s="45">
        <v>1</v>
      </c>
      <c r="G229" s="191">
        <v>48039624</v>
      </c>
      <c r="H229" s="54" t="s">
        <v>281</v>
      </c>
      <c r="I229" s="42"/>
      <c r="J229" s="43"/>
      <c r="K229" s="43">
        <f t="shared" si="7"/>
        <v>100.8</v>
      </c>
      <c r="L229" s="43"/>
      <c r="M229" s="43"/>
      <c r="N229" s="43"/>
      <c r="O229" s="43"/>
      <c r="P229" s="46">
        <v>100.8</v>
      </c>
      <c r="Q229" s="47"/>
      <c r="R229" s="40"/>
      <c r="S229" s="42"/>
      <c r="T229" s="41"/>
      <c r="U229" s="41"/>
      <c r="V229" s="48" t="s">
        <v>453</v>
      </c>
      <c r="W229" s="43"/>
      <c r="X229" s="44">
        <v>46188</v>
      </c>
      <c r="Y229" s="41" t="s">
        <v>454</v>
      </c>
      <c r="Z229" s="41"/>
      <c r="AA229" s="41"/>
      <c r="AB229" s="41" t="s">
        <v>937</v>
      </c>
      <c r="AC229" s="49"/>
      <c r="AD229" s="49">
        <v>1212</v>
      </c>
      <c r="AE229" s="50"/>
      <c r="AF229" s="51"/>
      <c r="AG229" s="51"/>
      <c r="AH229" s="52"/>
      <c r="AI229" s="52"/>
      <c r="AJ229" s="53"/>
      <c r="AK229" s="52"/>
      <c r="AL229" s="43">
        <v>18</v>
      </c>
      <c r="AM229" s="168" t="s">
        <v>938</v>
      </c>
      <c r="AN229" s="36"/>
      <c r="AO229" s="36"/>
      <c r="AP229" s="37"/>
    </row>
    <row r="230" spans="1:42" s="38" customFormat="1" ht="18.75" customHeight="1" x14ac:dyDescent="0.25">
      <c r="A230" s="44">
        <v>46188</v>
      </c>
      <c r="B230" s="40">
        <f t="shared" si="6"/>
        <v>46188</v>
      </c>
      <c r="C230" s="41" t="s">
        <v>85</v>
      </c>
      <c r="D230" s="45" t="s">
        <v>86</v>
      </c>
      <c r="E230" s="45">
        <v>31628</v>
      </c>
      <c r="F230" s="45">
        <v>1</v>
      </c>
      <c r="G230" s="191">
        <v>40816816</v>
      </c>
      <c r="H230" s="54" t="s">
        <v>239</v>
      </c>
      <c r="I230" s="42"/>
      <c r="J230" s="43"/>
      <c r="K230" s="43">
        <f t="shared" si="7"/>
        <v>50</v>
      </c>
      <c r="L230" s="43"/>
      <c r="M230" s="43"/>
      <c r="N230" s="43"/>
      <c r="O230" s="43"/>
      <c r="P230" s="46">
        <v>50</v>
      </c>
      <c r="Q230" s="47"/>
      <c r="R230" s="40"/>
      <c r="S230" s="42"/>
      <c r="T230" s="41"/>
      <c r="U230" s="41"/>
      <c r="V230" s="48" t="s">
        <v>453</v>
      </c>
      <c r="W230" s="43"/>
      <c r="X230" s="44">
        <v>46188</v>
      </c>
      <c r="Y230" s="41" t="s">
        <v>454</v>
      </c>
      <c r="Z230" s="41"/>
      <c r="AA230" s="41"/>
      <c r="AB230" s="41" t="s">
        <v>937</v>
      </c>
      <c r="AC230" s="49"/>
      <c r="AD230" s="49">
        <v>1212</v>
      </c>
      <c r="AE230" s="50"/>
      <c r="AF230" s="51"/>
      <c r="AG230" s="51"/>
      <c r="AH230" s="52"/>
      <c r="AI230" s="52"/>
      <c r="AJ230" s="53"/>
      <c r="AK230" s="52"/>
      <c r="AL230" s="43">
        <v>18</v>
      </c>
      <c r="AM230" s="168" t="s">
        <v>938</v>
      </c>
      <c r="AN230" s="36"/>
      <c r="AO230" s="36"/>
      <c r="AP230" s="37"/>
    </row>
    <row r="231" spans="1:42" s="38" customFormat="1" ht="18.75" customHeight="1" x14ac:dyDescent="0.25">
      <c r="A231" s="44">
        <v>46188</v>
      </c>
      <c r="B231" s="40">
        <f t="shared" si="6"/>
        <v>46188</v>
      </c>
      <c r="C231" s="41" t="s">
        <v>85</v>
      </c>
      <c r="D231" s="45" t="s">
        <v>86</v>
      </c>
      <c r="E231" s="45">
        <v>31629</v>
      </c>
      <c r="F231" s="45">
        <v>1</v>
      </c>
      <c r="G231" s="191">
        <v>43804871</v>
      </c>
      <c r="H231" s="54" t="s">
        <v>125</v>
      </c>
      <c r="I231" s="42"/>
      <c r="J231" s="43"/>
      <c r="K231" s="43">
        <f t="shared" si="7"/>
        <v>50</v>
      </c>
      <c r="L231" s="43"/>
      <c r="M231" s="43"/>
      <c r="N231" s="43"/>
      <c r="O231" s="43"/>
      <c r="P231" s="46">
        <v>50</v>
      </c>
      <c r="Q231" s="47"/>
      <c r="R231" s="40"/>
      <c r="S231" s="42"/>
      <c r="T231" s="41"/>
      <c r="U231" s="41"/>
      <c r="V231" s="48" t="s">
        <v>453</v>
      </c>
      <c r="W231" s="43"/>
      <c r="X231" s="44">
        <v>46188</v>
      </c>
      <c r="Y231" s="41" t="s">
        <v>454</v>
      </c>
      <c r="Z231" s="41"/>
      <c r="AA231" s="41"/>
      <c r="AB231" s="41" t="s">
        <v>937</v>
      </c>
      <c r="AC231" s="49"/>
      <c r="AD231" s="49">
        <v>1212</v>
      </c>
      <c r="AE231" s="50"/>
      <c r="AF231" s="51"/>
      <c r="AG231" s="51"/>
      <c r="AH231" s="52"/>
      <c r="AI231" s="52"/>
      <c r="AJ231" s="53"/>
      <c r="AK231" s="52"/>
      <c r="AL231" s="43">
        <v>18</v>
      </c>
      <c r="AM231" s="168" t="s">
        <v>938</v>
      </c>
      <c r="AN231" s="36"/>
      <c r="AO231" s="36"/>
      <c r="AP231" s="37"/>
    </row>
    <row r="232" spans="1:42" s="38" customFormat="1" ht="18.75" customHeight="1" x14ac:dyDescent="0.25">
      <c r="A232" s="44">
        <v>46188</v>
      </c>
      <c r="B232" s="40">
        <f t="shared" si="6"/>
        <v>46188</v>
      </c>
      <c r="C232" s="41" t="s">
        <v>85</v>
      </c>
      <c r="D232" s="45" t="s">
        <v>86</v>
      </c>
      <c r="E232" s="45">
        <v>31630</v>
      </c>
      <c r="F232" s="45">
        <v>1</v>
      </c>
      <c r="G232" s="191">
        <v>20019197</v>
      </c>
      <c r="H232" s="54" t="s">
        <v>282</v>
      </c>
      <c r="I232" s="42"/>
      <c r="J232" s="43"/>
      <c r="K232" s="43">
        <f t="shared" si="7"/>
        <v>131.69999999999999</v>
      </c>
      <c r="L232" s="43"/>
      <c r="M232" s="43"/>
      <c r="N232" s="43"/>
      <c r="O232" s="43"/>
      <c r="P232" s="46">
        <v>131.69999999999999</v>
      </c>
      <c r="Q232" s="47"/>
      <c r="R232" s="40"/>
      <c r="S232" s="42"/>
      <c r="T232" s="41"/>
      <c r="U232" s="41"/>
      <c r="V232" s="48" t="s">
        <v>453</v>
      </c>
      <c r="W232" s="43"/>
      <c r="X232" s="44">
        <v>46188</v>
      </c>
      <c r="Y232" s="41" t="s">
        <v>454</v>
      </c>
      <c r="Z232" s="41"/>
      <c r="AA232" s="41"/>
      <c r="AB232" s="41" t="s">
        <v>937</v>
      </c>
      <c r="AC232" s="49"/>
      <c r="AD232" s="49">
        <v>1212</v>
      </c>
      <c r="AE232" s="50"/>
      <c r="AF232" s="51"/>
      <c r="AG232" s="51"/>
      <c r="AH232" s="52"/>
      <c r="AI232" s="52"/>
      <c r="AJ232" s="53"/>
      <c r="AK232" s="52"/>
      <c r="AL232" s="43">
        <v>18</v>
      </c>
      <c r="AM232" s="168" t="s">
        <v>938</v>
      </c>
      <c r="AN232" s="36"/>
      <c r="AO232" s="36"/>
      <c r="AP232" s="37"/>
    </row>
    <row r="233" spans="1:42" s="38" customFormat="1" ht="18.75" customHeight="1" x14ac:dyDescent="0.25">
      <c r="A233" s="44">
        <v>46188</v>
      </c>
      <c r="B233" s="40">
        <f t="shared" si="6"/>
        <v>46188</v>
      </c>
      <c r="C233" s="41" t="s">
        <v>85</v>
      </c>
      <c r="D233" s="45" t="s">
        <v>86</v>
      </c>
      <c r="E233" s="45">
        <v>31631</v>
      </c>
      <c r="F233" s="45">
        <v>1</v>
      </c>
      <c r="G233" s="191">
        <v>42409919</v>
      </c>
      <c r="H233" s="54" t="s">
        <v>283</v>
      </c>
      <c r="I233" s="42"/>
      <c r="J233" s="43"/>
      <c r="K233" s="43">
        <f t="shared" si="7"/>
        <v>50</v>
      </c>
      <c r="L233" s="43"/>
      <c r="M233" s="43"/>
      <c r="N233" s="43"/>
      <c r="O233" s="43"/>
      <c r="P233" s="46">
        <v>50</v>
      </c>
      <c r="Q233" s="47"/>
      <c r="R233" s="40"/>
      <c r="S233" s="42"/>
      <c r="T233" s="41"/>
      <c r="U233" s="41"/>
      <c r="V233" s="48" t="s">
        <v>453</v>
      </c>
      <c r="W233" s="43"/>
      <c r="X233" s="44">
        <v>46188</v>
      </c>
      <c r="Y233" s="41" t="s">
        <v>454</v>
      </c>
      <c r="Z233" s="41"/>
      <c r="AA233" s="41"/>
      <c r="AB233" s="41" t="s">
        <v>937</v>
      </c>
      <c r="AC233" s="49"/>
      <c r="AD233" s="49">
        <v>1212</v>
      </c>
      <c r="AE233" s="50"/>
      <c r="AF233" s="51"/>
      <c r="AG233" s="51"/>
      <c r="AH233" s="52"/>
      <c r="AI233" s="52"/>
      <c r="AJ233" s="53"/>
      <c r="AK233" s="52"/>
      <c r="AL233" s="43">
        <v>18</v>
      </c>
      <c r="AM233" s="168" t="s">
        <v>938</v>
      </c>
      <c r="AN233" s="36"/>
      <c r="AO233" s="36"/>
      <c r="AP233" s="37"/>
    </row>
    <row r="234" spans="1:42" s="38" customFormat="1" ht="18.75" customHeight="1" x14ac:dyDescent="0.25">
      <c r="A234" s="44">
        <v>46188</v>
      </c>
      <c r="B234" s="40">
        <f t="shared" si="6"/>
        <v>46188</v>
      </c>
      <c r="C234" s="41" t="s">
        <v>85</v>
      </c>
      <c r="D234" s="45" t="s">
        <v>86</v>
      </c>
      <c r="E234" s="45">
        <v>31632</v>
      </c>
      <c r="F234" s="45">
        <v>1</v>
      </c>
      <c r="G234" s="191">
        <v>46507935</v>
      </c>
      <c r="H234" s="54" t="s">
        <v>284</v>
      </c>
      <c r="I234" s="42"/>
      <c r="J234" s="43"/>
      <c r="K234" s="43">
        <f t="shared" si="7"/>
        <v>71</v>
      </c>
      <c r="L234" s="43"/>
      <c r="M234" s="43"/>
      <c r="N234" s="43"/>
      <c r="O234" s="43"/>
      <c r="P234" s="46">
        <v>71</v>
      </c>
      <c r="Q234" s="47"/>
      <c r="R234" s="40"/>
      <c r="S234" s="42"/>
      <c r="T234" s="41"/>
      <c r="U234" s="41"/>
      <c r="V234" s="48" t="s">
        <v>453</v>
      </c>
      <c r="W234" s="43"/>
      <c r="X234" s="44">
        <v>46188</v>
      </c>
      <c r="Y234" s="41" t="s">
        <v>454</v>
      </c>
      <c r="Z234" s="41"/>
      <c r="AA234" s="41"/>
      <c r="AB234" s="41" t="s">
        <v>937</v>
      </c>
      <c r="AC234" s="49"/>
      <c r="AD234" s="49">
        <v>1212</v>
      </c>
      <c r="AE234" s="50"/>
      <c r="AF234" s="51"/>
      <c r="AG234" s="51"/>
      <c r="AH234" s="52"/>
      <c r="AI234" s="52"/>
      <c r="AJ234" s="53"/>
      <c r="AK234" s="52"/>
      <c r="AL234" s="43">
        <v>18</v>
      </c>
      <c r="AM234" s="168" t="s">
        <v>938</v>
      </c>
      <c r="AN234" s="36"/>
      <c r="AO234" s="36"/>
      <c r="AP234" s="37"/>
    </row>
    <row r="235" spans="1:42" s="38" customFormat="1" ht="18.75" customHeight="1" x14ac:dyDescent="0.25">
      <c r="A235" s="44">
        <v>46189</v>
      </c>
      <c r="B235" s="40">
        <f t="shared" si="6"/>
        <v>46189</v>
      </c>
      <c r="C235" s="41" t="s">
        <v>85</v>
      </c>
      <c r="D235" s="45" t="s">
        <v>86</v>
      </c>
      <c r="E235" s="45">
        <v>31633</v>
      </c>
      <c r="F235" s="45">
        <v>1</v>
      </c>
      <c r="G235" s="191">
        <v>72288358</v>
      </c>
      <c r="H235" s="54" t="s">
        <v>285</v>
      </c>
      <c r="I235" s="42"/>
      <c r="J235" s="43"/>
      <c r="K235" s="43">
        <f t="shared" si="7"/>
        <v>9</v>
      </c>
      <c r="L235" s="43"/>
      <c r="M235" s="43"/>
      <c r="N235" s="43"/>
      <c r="O235" s="43"/>
      <c r="P235" s="46">
        <v>9</v>
      </c>
      <c r="Q235" s="47"/>
      <c r="R235" s="40"/>
      <c r="S235" s="42"/>
      <c r="T235" s="41"/>
      <c r="U235" s="41"/>
      <c r="V235" s="48" t="s">
        <v>453</v>
      </c>
      <c r="W235" s="43"/>
      <c r="X235" s="44">
        <v>46189</v>
      </c>
      <c r="Y235" s="41" t="s">
        <v>454</v>
      </c>
      <c r="Z235" s="41"/>
      <c r="AA235" s="41"/>
      <c r="AB235" s="41" t="s">
        <v>937</v>
      </c>
      <c r="AC235" s="49"/>
      <c r="AD235" s="49">
        <v>1212</v>
      </c>
      <c r="AE235" s="50"/>
      <c r="AF235" s="51"/>
      <c r="AG235" s="51"/>
      <c r="AH235" s="52"/>
      <c r="AI235" s="52"/>
      <c r="AJ235" s="53"/>
      <c r="AK235" s="52"/>
      <c r="AL235" s="43">
        <v>18</v>
      </c>
      <c r="AM235" s="168" t="s">
        <v>938</v>
      </c>
      <c r="AN235" s="36"/>
      <c r="AO235" s="36"/>
      <c r="AP235" s="37"/>
    </row>
    <row r="236" spans="1:42" s="38" customFormat="1" ht="18.75" customHeight="1" x14ac:dyDescent="0.25">
      <c r="A236" s="44">
        <v>46189</v>
      </c>
      <c r="B236" s="40">
        <f t="shared" si="6"/>
        <v>46189</v>
      </c>
      <c r="C236" s="41" t="s">
        <v>85</v>
      </c>
      <c r="D236" s="45" t="s">
        <v>86</v>
      </c>
      <c r="E236" s="45">
        <v>31634</v>
      </c>
      <c r="F236" s="45">
        <v>1</v>
      </c>
      <c r="G236" s="191">
        <v>40515401</v>
      </c>
      <c r="H236" s="54" t="s">
        <v>286</v>
      </c>
      <c r="I236" s="42"/>
      <c r="J236" s="43"/>
      <c r="K236" s="43">
        <f t="shared" si="7"/>
        <v>50</v>
      </c>
      <c r="L236" s="43"/>
      <c r="M236" s="43"/>
      <c r="N236" s="43"/>
      <c r="O236" s="43"/>
      <c r="P236" s="46">
        <v>50</v>
      </c>
      <c r="Q236" s="47"/>
      <c r="R236" s="40"/>
      <c r="S236" s="42"/>
      <c r="T236" s="41"/>
      <c r="U236" s="41"/>
      <c r="V236" s="48" t="s">
        <v>453</v>
      </c>
      <c r="W236" s="43"/>
      <c r="X236" s="44">
        <v>46189</v>
      </c>
      <c r="Y236" s="41" t="s">
        <v>454</v>
      </c>
      <c r="Z236" s="41"/>
      <c r="AA236" s="41"/>
      <c r="AB236" s="41" t="s">
        <v>937</v>
      </c>
      <c r="AC236" s="49"/>
      <c r="AD236" s="49">
        <v>1212</v>
      </c>
      <c r="AE236" s="50"/>
      <c r="AF236" s="51"/>
      <c r="AG236" s="51"/>
      <c r="AH236" s="52"/>
      <c r="AI236" s="52"/>
      <c r="AJ236" s="53"/>
      <c r="AK236" s="52"/>
      <c r="AL236" s="43">
        <v>18</v>
      </c>
      <c r="AM236" s="168" t="s">
        <v>938</v>
      </c>
      <c r="AN236" s="36"/>
      <c r="AO236" s="36"/>
      <c r="AP236" s="37"/>
    </row>
    <row r="237" spans="1:42" s="38" customFormat="1" ht="18.75" customHeight="1" x14ac:dyDescent="0.25">
      <c r="A237" s="44">
        <v>46189</v>
      </c>
      <c r="B237" s="40">
        <f t="shared" si="6"/>
        <v>46189</v>
      </c>
      <c r="C237" s="41" t="s">
        <v>85</v>
      </c>
      <c r="D237" s="45" t="s">
        <v>86</v>
      </c>
      <c r="E237" s="45">
        <v>31635</v>
      </c>
      <c r="F237" s="45">
        <v>6</v>
      </c>
      <c r="G237" s="191">
        <v>20602228739</v>
      </c>
      <c r="H237" s="54" t="s">
        <v>117</v>
      </c>
      <c r="I237" s="42"/>
      <c r="J237" s="43"/>
      <c r="K237" s="43">
        <f t="shared" si="7"/>
        <v>23.6</v>
      </c>
      <c r="L237" s="43"/>
      <c r="M237" s="43"/>
      <c r="N237" s="43"/>
      <c r="O237" s="43"/>
      <c r="P237" s="46">
        <v>23.6</v>
      </c>
      <c r="Q237" s="47"/>
      <c r="R237" s="40"/>
      <c r="S237" s="42"/>
      <c r="T237" s="41"/>
      <c r="U237" s="41"/>
      <c r="V237" s="48" t="s">
        <v>453</v>
      </c>
      <c r="W237" s="43"/>
      <c r="X237" s="44">
        <v>46189</v>
      </c>
      <c r="Y237" s="41" t="s">
        <v>454</v>
      </c>
      <c r="Z237" s="41"/>
      <c r="AA237" s="41"/>
      <c r="AB237" s="41" t="s">
        <v>937</v>
      </c>
      <c r="AC237" s="49"/>
      <c r="AD237" s="49">
        <v>1212</v>
      </c>
      <c r="AE237" s="50"/>
      <c r="AF237" s="51"/>
      <c r="AG237" s="51"/>
      <c r="AH237" s="52"/>
      <c r="AI237" s="52"/>
      <c r="AJ237" s="53"/>
      <c r="AK237" s="52"/>
      <c r="AL237" s="43">
        <v>18</v>
      </c>
      <c r="AM237" s="168" t="s">
        <v>938</v>
      </c>
      <c r="AN237" s="36"/>
      <c r="AO237" s="36"/>
      <c r="AP237" s="37"/>
    </row>
    <row r="238" spans="1:42" s="38" customFormat="1" ht="18.75" customHeight="1" x14ac:dyDescent="0.25">
      <c r="A238" s="44">
        <v>46189</v>
      </c>
      <c r="B238" s="40">
        <f t="shared" si="6"/>
        <v>46189</v>
      </c>
      <c r="C238" s="41" t="s">
        <v>85</v>
      </c>
      <c r="D238" s="45" t="s">
        <v>86</v>
      </c>
      <c r="E238" s="45">
        <v>31636</v>
      </c>
      <c r="F238" s="45">
        <v>1</v>
      </c>
      <c r="G238" s="191">
        <v>46429743</v>
      </c>
      <c r="H238" s="54" t="s">
        <v>287</v>
      </c>
      <c r="I238" s="42"/>
      <c r="J238" s="43"/>
      <c r="K238" s="43">
        <f t="shared" si="7"/>
        <v>18</v>
      </c>
      <c r="L238" s="43"/>
      <c r="M238" s="43"/>
      <c r="N238" s="43"/>
      <c r="O238" s="43"/>
      <c r="P238" s="46">
        <v>18</v>
      </c>
      <c r="Q238" s="47"/>
      <c r="R238" s="40"/>
      <c r="S238" s="42"/>
      <c r="T238" s="41"/>
      <c r="U238" s="41"/>
      <c r="V238" s="48" t="s">
        <v>453</v>
      </c>
      <c r="W238" s="43"/>
      <c r="X238" s="44">
        <v>46189</v>
      </c>
      <c r="Y238" s="41" t="s">
        <v>454</v>
      </c>
      <c r="Z238" s="41"/>
      <c r="AA238" s="41"/>
      <c r="AB238" s="41" t="s">
        <v>937</v>
      </c>
      <c r="AC238" s="49"/>
      <c r="AD238" s="49">
        <v>1212</v>
      </c>
      <c r="AE238" s="50"/>
      <c r="AF238" s="51"/>
      <c r="AG238" s="51"/>
      <c r="AH238" s="52"/>
      <c r="AI238" s="52"/>
      <c r="AJ238" s="53"/>
      <c r="AK238" s="52"/>
      <c r="AL238" s="43">
        <v>18</v>
      </c>
      <c r="AM238" s="168" t="s">
        <v>938</v>
      </c>
      <c r="AN238" s="36"/>
      <c r="AO238" s="36"/>
      <c r="AP238" s="37"/>
    </row>
    <row r="239" spans="1:42" s="38" customFormat="1" ht="18.75" customHeight="1" x14ac:dyDescent="0.25">
      <c r="A239" s="44">
        <v>46189</v>
      </c>
      <c r="B239" s="40">
        <f t="shared" si="6"/>
        <v>46189</v>
      </c>
      <c r="C239" s="41" t="s">
        <v>85</v>
      </c>
      <c r="D239" s="45" t="s">
        <v>86</v>
      </c>
      <c r="E239" s="45">
        <v>31637</v>
      </c>
      <c r="F239" s="45">
        <v>1</v>
      </c>
      <c r="G239" s="191">
        <v>23249175</v>
      </c>
      <c r="H239" s="54" t="s">
        <v>278</v>
      </c>
      <c r="I239" s="42"/>
      <c r="J239" s="43"/>
      <c r="K239" s="43">
        <f t="shared" si="7"/>
        <v>53.1</v>
      </c>
      <c r="L239" s="43"/>
      <c r="M239" s="43"/>
      <c r="N239" s="43"/>
      <c r="O239" s="43"/>
      <c r="P239" s="46">
        <v>53.1</v>
      </c>
      <c r="Q239" s="47"/>
      <c r="R239" s="40"/>
      <c r="S239" s="42"/>
      <c r="T239" s="41"/>
      <c r="U239" s="41"/>
      <c r="V239" s="48" t="s">
        <v>453</v>
      </c>
      <c r="W239" s="43"/>
      <c r="X239" s="44">
        <v>46189</v>
      </c>
      <c r="Y239" s="41" t="s">
        <v>454</v>
      </c>
      <c r="Z239" s="41"/>
      <c r="AA239" s="41"/>
      <c r="AB239" s="41" t="s">
        <v>937</v>
      </c>
      <c r="AC239" s="49"/>
      <c r="AD239" s="49">
        <v>1212</v>
      </c>
      <c r="AE239" s="50"/>
      <c r="AF239" s="51"/>
      <c r="AG239" s="51"/>
      <c r="AH239" s="52"/>
      <c r="AI239" s="52"/>
      <c r="AJ239" s="53"/>
      <c r="AK239" s="52"/>
      <c r="AL239" s="43">
        <v>18</v>
      </c>
      <c r="AM239" s="168" t="s">
        <v>938</v>
      </c>
      <c r="AN239" s="36"/>
      <c r="AO239" s="36"/>
      <c r="AP239" s="37"/>
    </row>
    <row r="240" spans="1:42" s="190" customFormat="1" ht="18.75" customHeight="1" x14ac:dyDescent="0.25">
      <c r="A240" s="172">
        <v>46189</v>
      </c>
      <c r="B240" s="173">
        <f t="shared" si="6"/>
        <v>46189</v>
      </c>
      <c r="C240" s="174" t="s">
        <v>85</v>
      </c>
      <c r="D240" s="175" t="s">
        <v>86</v>
      </c>
      <c r="E240" s="175">
        <v>31638</v>
      </c>
      <c r="F240" s="175">
        <v>1</v>
      </c>
      <c r="G240" s="192" t="s">
        <v>934</v>
      </c>
      <c r="H240" s="176" t="s">
        <v>288</v>
      </c>
      <c r="I240" s="177"/>
      <c r="J240" s="178"/>
      <c r="K240" s="178">
        <f t="shared" si="7"/>
        <v>20</v>
      </c>
      <c r="L240" s="178"/>
      <c r="M240" s="178"/>
      <c r="N240" s="178"/>
      <c r="O240" s="178"/>
      <c r="P240" s="179">
        <v>20</v>
      </c>
      <c r="Q240" s="180"/>
      <c r="R240" s="173"/>
      <c r="S240" s="177"/>
      <c r="T240" s="174"/>
      <c r="U240" s="174"/>
      <c r="V240" s="181" t="s">
        <v>453</v>
      </c>
      <c r="W240" s="178"/>
      <c r="X240" s="172">
        <v>46189</v>
      </c>
      <c r="Y240" s="174" t="s">
        <v>454</v>
      </c>
      <c r="Z240" s="174"/>
      <c r="AA240" s="174"/>
      <c r="AB240" s="174" t="s">
        <v>937</v>
      </c>
      <c r="AC240" s="182"/>
      <c r="AD240" s="182">
        <v>1212</v>
      </c>
      <c r="AE240" s="183"/>
      <c r="AF240" s="184"/>
      <c r="AG240" s="184"/>
      <c r="AH240" s="185"/>
      <c r="AI240" s="185"/>
      <c r="AJ240" s="186"/>
      <c r="AK240" s="185"/>
      <c r="AL240" s="178">
        <v>18</v>
      </c>
      <c r="AM240" s="187" t="s">
        <v>938</v>
      </c>
      <c r="AN240" s="188"/>
      <c r="AO240" s="188"/>
      <c r="AP240" s="189"/>
    </row>
    <row r="241" spans="1:42" s="38" customFormat="1" ht="18.75" customHeight="1" x14ac:dyDescent="0.25">
      <c r="A241" s="44">
        <v>46189</v>
      </c>
      <c r="B241" s="40">
        <f t="shared" si="6"/>
        <v>46189</v>
      </c>
      <c r="C241" s="41" t="s">
        <v>85</v>
      </c>
      <c r="D241" s="45" t="s">
        <v>86</v>
      </c>
      <c r="E241" s="45">
        <v>31639</v>
      </c>
      <c r="F241" s="45">
        <v>1</v>
      </c>
      <c r="G241" s="191">
        <v>20644038</v>
      </c>
      <c r="H241" s="54" t="s">
        <v>289</v>
      </c>
      <c r="I241" s="42"/>
      <c r="J241" s="43"/>
      <c r="K241" s="43">
        <f t="shared" si="7"/>
        <v>20</v>
      </c>
      <c r="L241" s="43"/>
      <c r="M241" s="43"/>
      <c r="N241" s="43"/>
      <c r="O241" s="43"/>
      <c r="P241" s="46">
        <v>20</v>
      </c>
      <c r="Q241" s="47"/>
      <c r="R241" s="40"/>
      <c r="S241" s="42"/>
      <c r="T241" s="41"/>
      <c r="U241" s="41"/>
      <c r="V241" s="48" t="s">
        <v>453</v>
      </c>
      <c r="W241" s="43"/>
      <c r="X241" s="44">
        <v>46189</v>
      </c>
      <c r="Y241" s="41" t="s">
        <v>454</v>
      </c>
      <c r="Z241" s="41"/>
      <c r="AA241" s="41"/>
      <c r="AB241" s="41" t="s">
        <v>937</v>
      </c>
      <c r="AC241" s="49"/>
      <c r="AD241" s="49">
        <v>1212</v>
      </c>
      <c r="AE241" s="50"/>
      <c r="AF241" s="51"/>
      <c r="AG241" s="51"/>
      <c r="AH241" s="52"/>
      <c r="AI241" s="52"/>
      <c r="AJ241" s="53"/>
      <c r="AK241" s="52"/>
      <c r="AL241" s="43">
        <v>18</v>
      </c>
      <c r="AM241" s="168" t="s">
        <v>938</v>
      </c>
      <c r="AN241" s="36"/>
      <c r="AO241" s="36"/>
      <c r="AP241" s="37"/>
    </row>
    <row r="242" spans="1:42" s="38" customFormat="1" ht="18.75" customHeight="1" x14ac:dyDescent="0.25">
      <c r="A242" s="44">
        <v>46189</v>
      </c>
      <c r="B242" s="40">
        <f t="shared" si="6"/>
        <v>46189</v>
      </c>
      <c r="C242" s="41" t="s">
        <v>85</v>
      </c>
      <c r="D242" s="45" t="s">
        <v>86</v>
      </c>
      <c r="E242" s="45">
        <v>31640</v>
      </c>
      <c r="F242" s="45">
        <v>1</v>
      </c>
      <c r="G242" s="191">
        <v>19873451</v>
      </c>
      <c r="H242" s="54" t="s">
        <v>290</v>
      </c>
      <c r="I242" s="42"/>
      <c r="J242" s="43"/>
      <c r="K242" s="43">
        <f t="shared" si="7"/>
        <v>55</v>
      </c>
      <c r="L242" s="43"/>
      <c r="M242" s="43"/>
      <c r="N242" s="43"/>
      <c r="O242" s="43"/>
      <c r="P242" s="46">
        <v>55</v>
      </c>
      <c r="Q242" s="47"/>
      <c r="R242" s="40"/>
      <c r="S242" s="42"/>
      <c r="T242" s="41"/>
      <c r="U242" s="41"/>
      <c r="V242" s="48" t="s">
        <v>453</v>
      </c>
      <c r="W242" s="43"/>
      <c r="X242" s="44">
        <v>46189</v>
      </c>
      <c r="Y242" s="41" t="s">
        <v>454</v>
      </c>
      <c r="Z242" s="41"/>
      <c r="AA242" s="41"/>
      <c r="AB242" s="41" t="s">
        <v>937</v>
      </c>
      <c r="AC242" s="49"/>
      <c r="AD242" s="49">
        <v>1212</v>
      </c>
      <c r="AE242" s="50"/>
      <c r="AF242" s="51"/>
      <c r="AG242" s="51"/>
      <c r="AH242" s="52"/>
      <c r="AI242" s="52"/>
      <c r="AJ242" s="53"/>
      <c r="AK242" s="52"/>
      <c r="AL242" s="43">
        <v>18</v>
      </c>
      <c r="AM242" s="168" t="s">
        <v>938</v>
      </c>
      <c r="AN242" s="36"/>
      <c r="AO242" s="36"/>
      <c r="AP242" s="37"/>
    </row>
    <row r="243" spans="1:42" s="38" customFormat="1" ht="18.75" customHeight="1" x14ac:dyDescent="0.25">
      <c r="A243" s="44">
        <v>46189</v>
      </c>
      <c r="B243" s="40">
        <f t="shared" si="6"/>
        <v>46189</v>
      </c>
      <c r="C243" s="41" t="s">
        <v>85</v>
      </c>
      <c r="D243" s="45" t="s">
        <v>86</v>
      </c>
      <c r="E243" s="45">
        <v>31641</v>
      </c>
      <c r="F243" s="45">
        <v>1</v>
      </c>
      <c r="G243" s="191">
        <v>33819793</v>
      </c>
      <c r="H243" s="54" t="s">
        <v>291</v>
      </c>
      <c r="I243" s="42"/>
      <c r="J243" s="43"/>
      <c r="K243" s="43">
        <f t="shared" si="7"/>
        <v>46.7</v>
      </c>
      <c r="L243" s="43"/>
      <c r="M243" s="43"/>
      <c r="N243" s="43"/>
      <c r="O243" s="43"/>
      <c r="P243" s="46">
        <v>46.7</v>
      </c>
      <c r="Q243" s="47"/>
      <c r="R243" s="40"/>
      <c r="S243" s="42"/>
      <c r="T243" s="41"/>
      <c r="U243" s="41"/>
      <c r="V243" s="48" t="s">
        <v>453</v>
      </c>
      <c r="W243" s="43"/>
      <c r="X243" s="44">
        <v>46189</v>
      </c>
      <c r="Y243" s="41" t="s">
        <v>454</v>
      </c>
      <c r="Z243" s="41"/>
      <c r="AA243" s="41"/>
      <c r="AB243" s="41" t="s">
        <v>937</v>
      </c>
      <c r="AC243" s="49"/>
      <c r="AD243" s="49">
        <v>1212</v>
      </c>
      <c r="AE243" s="50"/>
      <c r="AF243" s="51"/>
      <c r="AG243" s="51"/>
      <c r="AH243" s="52"/>
      <c r="AI243" s="52"/>
      <c r="AJ243" s="53"/>
      <c r="AK243" s="52"/>
      <c r="AL243" s="43">
        <v>18</v>
      </c>
      <c r="AM243" s="168" t="s">
        <v>938</v>
      </c>
      <c r="AN243" s="36"/>
      <c r="AO243" s="36"/>
      <c r="AP243" s="37"/>
    </row>
    <row r="244" spans="1:42" s="38" customFormat="1" ht="18.75" customHeight="1" x14ac:dyDescent="0.25">
      <c r="A244" s="44">
        <v>46189</v>
      </c>
      <c r="B244" s="40">
        <f t="shared" si="6"/>
        <v>46189</v>
      </c>
      <c r="C244" s="41" t="s">
        <v>85</v>
      </c>
      <c r="D244" s="45" t="s">
        <v>86</v>
      </c>
      <c r="E244" s="45">
        <v>31642</v>
      </c>
      <c r="F244" s="45">
        <v>6</v>
      </c>
      <c r="G244" s="191">
        <v>20607752282</v>
      </c>
      <c r="H244" s="54" t="s">
        <v>292</v>
      </c>
      <c r="I244" s="42"/>
      <c r="J244" s="43"/>
      <c r="K244" s="43">
        <f t="shared" si="7"/>
        <v>20</v>
      </c>
      <c r="L244" s="43"/>
      <c r="M244" s="43"/>
      <c r="N244" s="43"/>
      <c r="O244" s="43"/>
      <c r="P244" s="46">
        <v>20</v>
      </c>
      <c r="Q244" s="47"/>
      <c r="R244" s="40"/>
      <c r="S244" s="42"/>
      <c r="T244" s="41"/>
      <c r="U244" s="41"/>
      <c r="V244" s="48" t="s">
        <v>453</v>
      </c>
      <c r="W244" s="43"/>
      <c r="X244" s="44">
        <v>46189</v>
      </c>
      <c r="Y244" s="41" t="s">
        <v>454</v>
      </c>
      <c r="Z244" s="41"/>
      <c r="AA244" s="41"/>
      <c r="AB244" s="41" t="s">
        <v>937</v>
      </c>
      <c r="AC244" s="49"/>
      <c r="AD244" s="49">
        <v>1212</v>
      </c>
      <c r="AE244" s="50"/>
      <c r="AF244" s="51"/>
      <c r="AG244" s="51"/>
      <c r="AH244" s="52"/>
      <c r="AI244" s="52"/>
      <c r="AJ244" s="53"/>
      <c r="AK244" s="52"/>
      <c r="AL244" s="43">
        <v>18</v>
      </c>
      <c r="AM244" s="168" t="s">
        <v>938</v>
      </c>
      <c r="AN244" s="36"/>
      <c r="AO244" s="36"/>
      <c r="AP244" s="37"/>
    </row>
    <row r="245" spans="1:42" s="38" customFormat="1" ht="18.75" customHeight="1" x14ac:dyDescent="0.25">
      <c r="A245" s="44">
        <v>46189</v>
      </c>
      <c r="B245" s="40">
        <f t="shared" si="6"/>
        <v>46189</v>
      </c>
      <c r="C245" s="41" t="s">
        <v>85</v>
      </c>
      <c r="D245" s="45" t="s">
        <v>86</v>
      </c>
      <c r="E245" s="45">
        <v>31643</v>
      </c>
      <c r="F245" s="45">
        <v>1</v>
      </c>
      <c r="G245" s="191">
        <v>23227487</v>
      </c>
      <c r="H245" s="54" t="s">
        <v>293</v>
      </c>
      <c r="I245" s="42"/>
      <c r="J245" s="43"/>
      <c r="K245" s="43">
        <f t="shared" si="7"/>
        <v>30</v>
      </c>
      <c r="L245" s="43"/>
      <c r="M245" s="43"/>
      <c r="N245" s="43"/>
      <c r="O245" s="43"/>
      <c r="P245" s="46">
        <v>30</v>
      </c>
      <c r="Q245" s="47"/>
      <c r="R245" s="40"/>
      <c r="S245" s="42"/>
      <c r="T245" s="41"/>
      <c r="U245" s="41"/>
      <c r="V245" s="48" t="s">
        <v>453</v>
      </c>
      <c r="W245" s="43"/>
      <c r="X245" s="44">
        <v>46189</v>
      </c>
      <c r="Y245" s="41" t="s">
        <v>454</v>
      </c>
      <c r="Z245" s="41"/>
      <c r="AA245" s="41"/>
      <c r="AB245" s="41" t="s">
        <v>937</v>
      </c>
      <c r="AC245" s="49"/>
      <c r="AD245" s="49">
        <v>1212</v>
      </c>
      <c r="AE245" s="50"/>
      <c r="AF245" s="51"/>
      <c r="AG245" s="51"/>
      <c r="AH245" s="52"/>
      <c r="AI245" s="52"/>
      <c r="AJ245" s="53"/>
      <c r="AK245" s="52"/>
      <c r="AL245" s="43">
        <v>18</v>
      </c>
      <c r="AM245" s="168" t="s">
        <v>938</v>
      </c>
      <c r="AN245" s="36"/>
      <c r="AO245" s="36"/>
      <c r="AP245" s="37"/>
    </row>
    <row r="246" spans="1:42" s="38" customFormat="1" ht="18.75" customHeight="1" x14ac:dyDescent="0.25">
      <c r="A246" s="44">
        <v>46189</v>
      </c>
      <c r="B246" s="40">
        <f t="shared" si="6"/>
        <v>46189</v>
      </c>
      <c r="C246" s="41" t="s">
        <v>85</v>
      </c>
      <c r="D246" s="45" t="s">
        <v>86</v>
      </c>
      <c r="E246" s="45">
        <v>31644</v>
      </c>
      <c r="F246" s="45">
        <v>1</v>
      </c>
      <c r="G246" s="191">
        <v>23279567</v>
      </c>
      <c r="H246" s="54" t="s">
        <v>294</v>
      </c>
      <c r="I246" s="42"/>
      <c r="J246" s="43"/>
      <c r="K246" s="43">
        <f t="shared" si="7"/>
        <v>54.7</v>
      </c>
      <c r="L246" s="43"/>
      <c r="M246" s="43"/>
      <c r="N246" s="43"/>
      <c r="O246" s="43"/>
      <c r="P246" s="46">
        <v>54.7</v>
      </c>
      <c r="Q246" s="47"/>
      <c r="R246" s="40"/>
      <c r="S246" s="42"/>
      <c r="T246" s="41"/>
      <c r="U246" s="41"/>
      <c r="V246" s="48" t="s">
        <v>453</v>
      </c>
      <c r="W246" s="43"/>
      <c r="X246" s="44">
        <v>46189</v>
      </c>
      <c r="Y246" s="41" t="s">
        <v>454</v>
      </c>
      <c r="Z246" s="41"/>
      <c r="AA246" s="41"/>
      <c r="AB246" s="41" t="s">
        <v>937</v>
      </c>
      <c r="AC246" s="49"/>
      <c r="AD246" s="49">
        <v>1212</v>
      </c>
      <c r="AE246" s="50"/>
      <c r="AF246" s="51"/>
      <c r="AG246" s="51"/>
      <c r="AH246" s="52"/>
      <c r="AI246" s="52"/>
      <c r="AJ246" s="53"/>
      <c r="AK246" s="52"/>
      <c r="AL246" s="43">
        <v>18</v>
      </c>
      <c r="AM246" s="168" t="s">
        <v>938</v>
      </c>
      <c r="AN246" s="36"/>
      <c r="AO246" s="36"/>
      <c r="AP246" s="37"/>
    </row>
    <row r="247" spans="1:42" s="38" customFormat="1" ht="18.75" customHeight="1" x14ac:dyDescent="0.25">
      <c r="A247" s="44">
        <v>46189</v>
      </c>
      <c r="B247" s="40">
        <f t="shared" si="6"/>
        <v>46189</v>
      </c>
      <c r="C247" s="41" t="s">
        <v>85</v>
      </c>
      <c r="D247" s="45" t="s">
        <v>86</v>
      </c>
      <c r="E247" s="45">
        <v>31645</v>
      </c>
      <c r="F247" s="45">
        <v>1</v>
      </c>
      <c r="G247" s="191">
        <v>19882114</v>
      </c>
      <c r="H247" s="54" t="s">
        <v>295</v>
      </c>
      <c r="I247" s="42"/>
      <c r="J247" s="43"/>
      <c r="K247" s="43">
        <f t="shared" si="7"/>
        <v>45</v>
      </c>
      <c r="L247" s="43"/>
      <c r="M247" s="43"/>
      <c r="N247" s="43"/>
      <c r="O247" s="43"/>
      <c r="P247" s="46">
        <v>45</v>
      </c>
      <c r="Q247" s="47"/>
      <c r="R247" s="40"/>
      <c r="S247" s="42"/>
      <c r="T247" s="41"/>
      <c r="U247" s="41"/>
      <c r="V247" s="48" t="s">
        <v>453</v>
      </c>
      <c r="W247" s="43"/>
      <c r="X247" s="44">
        <v>46189</v>
      </c>
      <c r="Y247" s="41" t="s">
        <v>454</v>
      </c>
      <c r="Z247" s="41"/>
      <c r="AA247" s="41"/>
      <c r="AB247" s="41" t="s">
        <v>937</v>
      </c>
      <c r="AC247" s="49"/>
      <c r="AD247" s="49">
        <v>1212</v>
      </c>
      <c r="AE247" s="50"/>
      <c r="AF247" s="51"/>
      <c r="AG247" s="51"/>
      <c r="AH247" s="52"/>
      <c r="AI247" s="52"/>
      <c r="AJ247" s="53"/>
      <c r="AK247" s="52"/>
      <c r="AL247" s="43">
        <v>18</v>
      </c>
      <c r="AM247" s="168" t="s">
        <v>938</v>
      </c>
      <c r="AN247" s="36"/>
      <c r="AO247" s="36"/>
      <c r="AP247" s="37"/>
    </row>
    <row r="248" spans="1:42" s="38" customFormat="1" ht="18.75" customHeight="1" x14ac:dyDescent="0.25">
      <c r="A248" s="44">
        <v>46189</v>
      </c>
      <c r="B248" s="40">
        <f t="shared" si="6"/>
        <v>46189</v>
      </c>
      <c r="C248" s="41" t="s">
        <v>85</v>
      </c>
      <c r="D248" s="45" t="s">
        <v>86</v>
      </c>
      <c r="E248" s="45">
        <v>31646</v>
      </c>
      <c r="F248" s="45">
        <v>1</v>
      </c>
      <c r="G248" s="191">
        <v>20642810</v>
      </c>
      <c r="H248" s="54" t="s">
        <v>296</v>
      </c>
      <c r="I248" s="42"/>
      <c r="J248" s="43"/>
      <c r="K248" s="43">
        <f t="shared" si="7"/>
        <v>176</v>
      </c>
      <c r="L248" s="43"/>
      <c r="M248" s="43"/>
      <c r="N248" s="43"/>
      <c r="O248" s="43"/>
      <c r="P248" s="46">
        <v>176</v>
      </c>
      <c r="Q248" s="47"/>
      <c r="R248" s="40"/>
      <c r="S248" s="42"/>
      <c r="T248" s="41"/>
      <c r="U248" s="41"/>
      <c r="V248" s="48" t="s">
        <v>453</v>
      </c>
      <c r="W248" s="43"/>
      <c r="X248" s="44">
        <v>46189</v>
      </c>
      <c r="Y248" s="41" t="s">
        <v>454</v>
      </c>
      <c r="Z248" s="41"/>
      <c r="AA248" s="41"/>
      <c r="AB248" s="41" t="s">
        <v>937</v>
      </c>
      <c r="AC248" s="49"/>
      <c r="AD248" s="49">
        <v>1212</v>
      </c>
      <c r="AE248" s="50"/>
      <c r="AF248" s="51"/>
      <c r="AG248" s="51"/>
      <c r="AH248" s="52"/>
      <c r="AI248" s="52"/>
      <c r="AJ248" s="53"/>
      <c r="AK248" s="52"/>
      <c r="AL248" s="43">
        <v>18</v>
      </c>
      <c r="AM248" s="168" t="s">
        <v>938</v>
      </c>
      <c r="AN248" s="36"/>
      <c r="AO248" s="36"/>
      <c r="AP248" s="37"/>
    </row>
    <row r="249" spans="1:42" s="38" customFormat="1" ht="18.75" customHeight="1" x14ac:dyDescent="0.25">
      <c r="A249" s="44">
        <v>46189</v>
      </c>
      <c r="B249" s="40">
        <f t="shared" si="6"/>
        <v>46189</v>
      </c>
      <c r="C249" s="41" t="s">
        <v>85</v>
      </c>
      <c r="D249" s="45" t="s">
        <v>86</v>
      </c>
      <c r="E249" s="45">
        <v>31647</v>
      </c>
      <c r="F249" s="45">
        <v>1</v>
      </c>
      <c r="G249" s="191">
        <v>20713338</v>
      </c>
      <c r="H249" s="54" t="s">
        <v>297</v>
      </c>
      <c r="I249" s="42"/>
      <c r="J249" s="43"/>
      <c r="K249" s="43">
        <f t="shared" si="7"/>
        <v>50</v>
      </c>
      <c r="L249" s="43"/>
      <c r="M249" s="43"/>
      <c r="N249" s="43"/>
      <c r="O249" s="43"/>
      <c r="P249" s="46">
        <v>50</v>
      </c>
      <c r="Q249" s="47"/>
      <c r="R249" s="40"/>
      <c r="S249" s="42"/>
      <c r="T249" s="41"/>
      <c r="U249" s="41"/>
      <c r="V249" s="48" t="s">
        <v>453</v>
      </c>
      <c r="W249" s="43"/>
      <c r="X249" s="44">
        <v>46189</v>
      </c>
      <c r="Y249" s="41" t="s">
        <v>454</v>
      </c>
      <c r="Z249" s="41"/>
      <c r="AA249" s="41"/>
      <c r="AB249" s="41" t="s">
        <v>937</v>
      </c>
      <c r="AC249" s="49"/>
      <c r="AD249" s="49">
        <v>1212</v>
      </c>
      <c r="AE249" s="50"/>
      <c r="AF249" s="51"/>
      <c r="AG249" s="51"/>
      <c r="AH249" s="52"/>
      <c r="AI249" s="52"/>
      <c r="AJ249" s="53"/>
      <c r="AK249" s="52"/>
      <c r="AL249" s="43">
        <v>18</v>
      </c>
      <c r="AM249" s="168" t="s">
        <v>938</v>
      </c>
      <c r="AN249" s="36"/>
      <c r="AO249" s="36"/>
      <c r="AP249" s="37"/>
    </row>
    <row r="250" spans="1:42" s="38" customFormat="1" ht="18.75" customHeight="1" x14ac:dyDescent="0.25">
      <c r="A250" s="44">
        <v>46189</v>
      </c>
      <c r="B250" s="40">
        <f t="shared" si="6"/>
        <v>46189</v>
      </c>
      <c r="C250" s="41" t="s">
        <v>85</v>
      </c>
      <c r="D250" s="45" t="s">
        <v>86</v>
      </c>
      <c r="E250" s="45">
        <v>31648</v>
      </c>
      <c r="F250" s="45">
        <v>1</v>
      </c>
      <c r="G250" s="191">
        <v>20010638</v>
      </c>
      <c r="H250" s="54" t="s">
        <v>298</v>
      </c>
      <c r="I250" s="42"/>
      <c r="J250" s="43"/>
      <c r="K250" s="43">
        <f t="shared" si="7"/>
        <v>5</v>
      </c>
      <c r="L250" s="43"/>
      <c r="M250" s="43"/>
      <c r="N250" s="43"/>
      <c r="O250" s="43"/>
      <c r="P250" s="46">
        <v>5</v>
      </c>
      <c r="Q250" s="47"/>
      <c r="R250" s="40"/>
      <c r="S250" s="42"/>
      <c r="T250" s="41"/>
      <c r="U250" s="41"/>
      <c r="V250" s="48" t="s">
        <v>453</v>
      </c>
      <c r="W250" s="43"/>
      <c r="X250" s="44">
        <v>46189</v>
      </c>
      <c r="Y250" s="41" t="s">
        <v>454</v>
      </c>
      <c r="Z250" s="41"/>
      <c r="AA250" s="41"/>
      <c r="AB250" s="41" t="s">
        <v>937</v>
      </c>
      <c r="AC250" s="49"/>
      <c r="AD250" s="49">
        <v>1212</v>
      </c>
      <c r="AE250" s="50"/>
      <c r="AF250" s="51"/>
      <c r="AG250" s="51"/>
      <c r="AH250" s="52"/>
      <c r="AI250" s="52"/>
      <c r="AJ250" s="53"/>
      <c r="AK250" s="52"/>
      <c r="AL250" s="43">
        <v>18</v>
      </c>
      <c r="AM250" s="168" t="s">
        <v>938</v>
      </c>
      <c r="AN250" s="36"/>
      <c r="AO250" s="36"/>
      <c r="AP250" s="37"/>
    </row>
    <row r="251" spans="1:42" s="38" customFormat="1" ht="18.75" customHeight="1" x14ac:dyDescent="0.25">
      <c r="A251" s="44">
        <v>46189</v>
      </c>
      <c r="B251" s="40">
        <f t="shared" si="6"/>
        <v>46189</v>
      </c>
      <c r="C251" s="41" t="s">
        <v>85</v>
      </c>
      <c r="D251" s="45" t="s">
        <v>86</v>
      </c>
      <c r="E251" s="45">
        <v>31649</v>
      </c>
      <c r="F251" s="45">
        <v>1</v>
      </c>
      <c r="G251" s="191">
        <v>41372699</v>
      </c>
      <c r="H251" s="54" t="s">
        <v>299</v>
      </c>
      <c r="I251" s="42"/>
      <c r="J251" s="43"/>
      <c r="K251" s="43">
        <f t="shared" si="7"/>
        <v>50</v>
      </c>
      <c r="L251" s="43"/>
      <c r="M251" s="43"/>
      <c r="N251" s="43"/>
      <c r="O251" s="43"/>
      <c r="P251" s="46">
        <v>50</v>
      </c>
      <c r="Q251" s="47"/>
      <c r="R251" s="40"/>
      <c r="S251" s="42"/>
      <c r="T251" s="41"/>
      <c r="U251" s="41"/>
      <c r="V251" s="48" t="s">
        <v>453</v>
      </c>
      <c r="W251" s="43"/>
      <c r="X251" s="44">
        <v>46189</v>
      </c>
      <c r="Y251" s="41" t="s">
        <v>454</v>
      </c>
      <c r="Z251" s="41"/>
      <c r="AA251" s="41"/>
      <c r="AB251" s="41" t="s">
        <v>937</v>
      </c>
      <c r="AC251" s="49"/>
      <c r="AD251" s="49">
        <v>1212</v>
      </c>
      <c r="AE251" s="50"/>
      <c r="AF251" s="51"/>
      <c r="AG251" s="51"/>
      <c r="AH251" s="52"/>
      <c r="AI251" s="52"/>
      <c r="AJ251" s="53"/>
      <c r="AK251" s="52"/>
      <c r="AL251" s="43">
        <v>18</v>
      </c>
      <c r="AM251" s="168" t="s">
        <v>938</v>
      </c>
      <c r="AN251" s="36"/>
      <c r="AO251" s="36"/>
      <c r="AP251" s="37"/>
    </row>
    <row r="252" spans="1:42" s="38" customFormat="1" ht="18.75" customHeight="1" x14ac:dyDescent="0.25">
      <c r="A252" s="44">
        <v>46189</v>
      </c>
      <c r="B252" s="40">
        <f t="shared" si="6"/>
        <v>46189</v>
      </c>
      <c r="C252" s="41" t="s">
        <v>85</v>
      </c>
      <c r="D252" s="45" t="s">
        <v>86</v>
      </c>
      <c r="E252" s="45">
        <v>31650</v>
      </c>
      <c r="F252" s="45">
        <v>1</v>
      </c>
      <c r="G252" s="191">
        <v>45333896</v>
      </c>
      <c r="H252" s="54" t="s">
        <v>300</v>
      </c>
      <c r="I252" s="42"/>
      <c r="J252" s="43"/>
      <c r="K252" s="43">
        <f t="shared" si="7"/>
        <v>6</v>
      </c>
      <c r="L252" s="43"/>
      <c r="M252" s="43"/>
      <c r="N252" s="43"/>
      <c r="O252" s="43"/>
      <c r="P252" s="46">
        <v>6</v>
      </c>
      <c r="Q252" s="47"/>
      <c r="R252" s="40"/>
      <c r="S252" s="42"/>
      <c r="T252" s="41"/>
      <c r="U252" s="41"/>
      <c r="V252" s="48" t="s">
        <v>453</v>
      </c>
      <c r="W252" s="43"/>
      <c r="X252" s="44">
        <v>46189</v>
      </c>
      <c r="Y252" s="41" t="s">
        <v>454</v>
      </c>
      <c r="Z252" s="41"/>
      <c r="AA252" s="41"/>
      <c r="AB252" s="41" t="s">
        <v>937</v>
      </c>
      <c r="AC252" s="49"/>
      <c r="AD252" s="49">
        <v>1212</v>
      </c>
      <c r="AE252" s="50"/>
      <c r="AF252" s="51"/>
      <c r="AG252" s="51"/>
      <c r="AH252" s="52"/>
      <c r="AI252" s="52"/>
      <c r="AJ252" s="53"/>
      <c r="AK252" s="52"/>
      <c r="AL252" s="43">
        <v>18</v>
      </c>
      <c r="AM252" s="168" t="s">
        <v>938</v>
      </c>
      <c r="AN252" s="36"/>
      <c r="AO252" s="36"/>
      <c r="AP252" s="37"/>
    </row>
    <row r="253" spans="1:42" s="38" customFormat="1" ht="18.75" customHeight="1" x14ac:dyDescent="0.25">
      <c r="A253" s="44">
        <v>46189</v>
      </c>
      <c r="B253" s="40">
        <f t="shared" si="6"/>
        <v>46189</v>
      </c>
      <c r="C253" s="41" t="s">
        <v>85</v>
      </c>
      <c r="D253" s="45" t="s">
        <v>86</v>
      </c>
      <c r="E253" s="45">
        <v>31651</v>
      </c>
      <c r="F253" s="45">
        <v>1</v>
      </c>
      <c r="G253" s="191">
        <v>18140799</v>
      </c>
      <c r="H253" s="54" t="s">
        <v>257</v>
      </c>
      <c r="I253" s="42"/>
      <c r="J253" s="43"/>
      <c r="K253" s="43">
        <f t="shared" si="7"/>
        <v>31</v>
      </c>
      <c r="L253" s="43"/>
      <c r="M253" s="43"/>
      <c r="N253" s="43"/>
      <c r="O253" s="43"/>
      <c r="P253" s="46">
        <v>31</v>
      </c>
      <c r="Q253" s="47"/>
      <c r="R253" s="40"/>
      <c r="S253" s="42"/>
      <c r="T253" s="41"/>
      <c r="U253" s="41"/>
      <c r="V253" s="48" t="s">
        <v>453</v>
      </c>
      <c r="W253" s="43"/>
      <c r="X253" s="44">
        <v>46189</v>
      </c>
      <c r="Y253" s="41" t="s">
        <v>454</v>
      </c>
      <c r="Z253" s="41"/>
      <c r="AA253" s="41"/>
      <c r="AB253" s="41" t="s">
        <v>937</v>
      </c>
      <c r="AC253" s="49"/>
      <c r="AD253" s="49">
        <v>1212</v>
      </c>
      <c r="AE253" s="50"/>
      <c r="AF253" s="51"/>
      <c r="AG253" s="51"/>
      <c r="AH253" s="52"/>
      <c r="AI253" s="52"/>
      <c r="AJ253" s="53"/>
      <c r="AK253" s="52"/>
      <c r="AL253" s="43">
        <v>18</v>
      </c>
      <c r="AM253" s="168" t="s">
        <v>938</v>
      </c>
      <c r="AN253" s="36"/>
      <c r="AO253" s="36"/>
      <c r="AP253" s="37"/>
    </row>
    <row r="254" spans="1:42" s="38" customFormat="1" ht="18.75" customHeight="1" x14ac:dyDescent="0.25">
      <c r="A254" s="44">
        <v>46189</v>
      </c>
      <c r="B254" s="40">
        <f t="shared" si="6"/>
        <v>46189</v>
      </c>
      <c r="C254" s="41" t="s">
        <v>85</v>
      </c>
      <c r="D254" s="45" t="s">
        <v>86</v>
      </c>
      <c r="E254" s="45">
        <v>31652</v>
      </c>
      <c r="F254" s="45">
        <v>1</v>
      </c>
      <c r="G254" s="191">
        <v>45120898</v>
      </c>
      <c r="H254" s="54" t="s">
        <v>301</v>
      </c>
      <c r="I254" s="42"/>
      <c r="J254" s="43"/>
      <c r="K254" s="43">
        <f t="shared" si="7"/>
        <v>5</v>
      </c>
      <c r="L254" s="43"/>
      <c r="M254" s="43"/>
      <c r="N254" s="43"/>
      <c r="O254" s="43"/>
      <c r="P254" s="46">
        <v>5</v>
      </c>
      <c r="Q254" s="47"/>
      <c r="R254" s="40"/>
      <c r="S254" s="42"/>
      <c r="T254" s="41"/>
      <c r="U254" s="41"/>
      <c r="V254" s="48" t="s">
        <v>453</v>
      </c>
      <c r="W254" s="43"/>
      <c r="X254" s="44">
        <v>46189</v>
      </c>
      <c r="Y254" s="41" t="s">
        <v>454</v>
      </c>
      <c r="Z254" s="41"/>
      <c r="AA254" s="41"/>
      <c r="AB254" s="41" t="s">
        <v>937</v>
      </c>
      <c r="AC254" s="49"/>
      <c r="AD254" s="49">
        <v>1212</v>
      </c>
      <c r="AE254" s="50"/>
      <c r="AF254" s="51"/>
      <c r="AG254" s="51"/>
      <c r="AH254" s="52"/>
      <c r="AI254" s="52"/>
      <c r="AJ254" s="53"/>
      <c r="AK254" s="52"/>
      <c r="AL254" s="43">
        <v>18</v>
      </c>
      <c r="AM254" s="168" t="s">
        <v>938</v>
      </c>
      <c r="AN254" s="36"/>
      <c r="AO254" s="36"/>
      <c r="AP254" s="37"/>
    </row>
    <row r="255" spans="1:42" s="38" customFormat="1" ht="18.75" customHeight="1" x14ac:dyDescent="0.25">
      <c r="A255" s="44">
        <v>46189</v>
      </c>
      <c r="B255" s="40">
        <f t="shared" si="6"/>
        <v>46189</v>
      </c>
      <c r="C255" s="41" t="s">
        <v>85</v>
      </c>
      <c r="D255" s="45" t="s">
        <v>86</v>
      </c>
      <c r="E255" s="45">
        <v>31653</v>
      </c>
      <c r="F255" s="45">
        <v>1</v>
      </c>
      <c r="G255" s="191">
        <v>44350238</v>
      </c>
      <c r="H255" s="54" t="s">
        <v>302</v>
      </c>
      <c r="I255" s="42"/>
      <c r="J255" s="43"/>
      <c r="K255" s="43">
        <f t="shared" si="7"/>
        <v>50</v>
      </c>
      <c r="L255" s="43"/>
      <c r="M255" s="43"/>
      <c r="N255" s="43"/>
      <c r="O255" s="43"/>
      <c r="P255" s="46">
        <v>50</v>
      </c>
      <c r="Q255" s="47"/>
      <c r="R255" s="40"/>
      <c r="S255" s="42"/>
      <c r="T255" s="41"/>
      <c r="U255" s="41"/>
      <c r="V255" s="48" t="s">
        <v>453</v>
      </c>
      <c r="W255" s="43"/>
      <c r="X255" s="44">
        <v>46189</v>
      </c>
      <c r="Y255" s="41" t="s">
        <v>454</v>
      </c>
      <c r="Z255" s="41"/>
      <c r="AA255" s="41"/>
      <c r="AB255" s="41" t="s">
        <v>937</v>
      </c>
      <c r="AC255" s="49"/>
      <c r="AD255" s="49">
        <v>1212</v>
      </c>
      <c r="AE255" s="50"/>
      <c r="AF255" s="51"/>
      <c r="AG255" s="51"/>
      <c r="AH255" s="52"/>
      <c r="AI255" s="52"/>
      <c r="AJ255" s="53"/>
      <c r="AK255" s="52"/>
      <c r="AL255" s="43">
        <v>18</v>
      </c>
      <c r="AM255" s="168" t="s">
        <v>938</v>
      </c>
      <c r="AN255" s="36"/>
      <c r="AO255" s="36"/>
      <c r="AP255" s="37"/>
    </row>
    <row r="256" spans="1:42" s="190" customFormat="1" ht="18.75" customHeight="1" x14ac:dyDescent="0.25">
      <c r="A256" s="172">
        <v>46189</v>
      </c>
      <c r="B256" s="173">
        <f t="shared" si="6"/>
        <v>46189</v>
      </c>
      <c r="C256" s="174" t="s">
        <v>85</v>
      </c>
      <c r="D256" s="175" t="s">
        <v>86</v>
      </c>
      <c r="E256" s="175">
        <v>31654</v>
      </c>
      <c r="F256" s="175">
        <v>1</v>
      </c>
      <c r="G256" s="192" t="s">
        <v>930</v>
      </c>
      <c r="H256" s="176" t="s">
        <v>224</v>
      </c>
      <c r="I256" s="177"/>
      <c r="J256" s="178"/>
      <c r="K256" s="178">
        <f t="shared" si="7"/>
        <v>5.5</v>
      </c>
      <c r="L256" s="178"/>
      <c r="M256" s="178"/>
      <c r="N256" s="178"/>
      <c r="O256" s="178"/>
      <c r="P256" s="179">
        <v>5.5</v>
      </c>
      <c r="Q256" s="180"/>
      <c r="R256" s="173"/>
      <c r="S256" s="177"/>
      <c r="T256" s="174"/>
      <c r="U256" s="174"/>
      <c r="V256" s="181" t="s">
        <v>453</v>
      </c>
      <c r="W256" s="178"/>
      <c r="X256" s="172">
        <v>46189</v>
      </c>
      <c r="Y256" s="174" t="s">
        <v>454</v>
      </c>
      <c r="Z256" s="174"/>
      <c r="AA256" s="174"/>
      <c r="AB256" s="174" t="s">
        <v>937</v>
      </c>
      <c r="AC256" s="182"/>
      <c r="AD256" s="182">
        <v>1212</v>
      </c>
      <c r="AE256" s="183"/>
      <c r="AF256" s="184"/>
      <c r="AG256" s="184"/>
      <c r="AH256" s="185"/>
      <c r="AI256" s="185"/>
      <c r="AJ256" s="186"/>
      <c r="AK256" s="185"/>
      <c r="AL256" s="178">
        <v>18</v>
      </c>
      <c r="AM256" s="187" t="s">
        <v>938</v>
      </c>
      <c r="AN256" s="188"/>
      <c r="AO256" s="188"/>
      <c r="AP256" s="189"/>
    </row>
    <row r="257" spans="1:42" s="38" customFormat="1" ht="18.75" customHeight="1" x14ac:dyDescent="0.25">
      <c r="A257" s="44">
        <v>46190</v>
      </c>
      <c r="B257" s="40">
        <f t="shared" si="6"/>
        <v>46190</v>
      </c>
      <c r="C257" s="41" t="s">
        <v>85</v>
      </c>
      <c r="D257" s="45" t="s">
        <v>86</v>
      </c>
      <c r="E257" s="45">
        <v>31655</v>
      </c>
      <c r="F257" s="45">
        <v>1</v>
      </c>
      <c r="G257" s="191">
        <v>20070172</v>
      </c>
      <c r="H257" s="54" t="s">
        <v>303</v>
      </c>
      <c r="I257" s="42"/>
      <c r="J257" s="43"/>
      <c r="K257" s="43">
        <f t="shared" si="7"/>
        <v>405</v>
      </c>
      <c r="L257" s="43"/>
      <c r="M257" s="43"/>
      <c r="N257" s="43"/>
      <c r="O257" s="43"/>
      <c r="P257" s="46">
        <v>405</v>
      </c>
      <c r="Q257" s="47"/>
      <c r="R257" s="40"/>
      <c r="S257" s="42"/>
      <c r="T257" s="41"/>
      <c r="U257" s="41"/>
      <c r="V257" s="48" t="s">
        <v>453</v>
      </c>
      <c r="W257" s="43"/>
      <c r="X257" s="44">
        <v>46190</v>
      </c>
      <c r="Y257" s="41" t="s">
        <v>454</v>
      </c>
      <c r="Z257" s="41"/>
      <c r="AA257" s="41"/>
      <c r="AB257" s="41" t="s">
        <v>937</v>
      </c>
      <c r="AC257" s="49"/>
      <c r="AD257" s="49">
        <v>1212</v>
      </c>
      <c r="AE257" s="50"/>
      <c r="AF257" s="51"/>
      <c r="AG257" s="51"/>
      <c r="AH257" s="52"/>
      <c r="AI257" s="52"/>
      <c r="AJ257" s="53"/>
      <c r="AK257" s="52"/>
      <c r="AL257" s="43">
        <v>18</v>
      </c>
      <c r="AM257" s="168" t="s">
        <v>938</v>
      </c>
      <c r="AN257" s="36"/>
      <c r="AO257" s="36"/>
      <c r="AP257" s="37"/>
    </row>
    <row r="258" spans="1:42" s="38" customFormat="1" ht="18.75" customHeight="1" x14ac:dyDescent="0.25">
      <c r="A258" s="44">
        <v>46190</v>
      </c>
      <c r="B258" s="40">
        <f t="shared" si="6"/>
        <v>46190</v>
      </c>
      <c r="C258" s="41" t="s">
        <v>85</v>
      </c>
      <c r="D258" s="45" t="s">
        <v>86</v>
      </c>
      <c r="E258" s="45">
        <v>31656</v>
      </c>
      <c r="F258" s="45">
        <v>1</v>
      </c>
      <c r="G258" s="191">
        <v>20070172</v>
      </c>
      <c r="H258" s="54" t="s">
        <v>303</v>
      </c>
      <c r="I258" s="42"/>
      <c r="J258" s="43"/>
      <c r="K258" s="43">
        <f t="shared" si="7"/>
        <v>243</v>
      </c>
      <c r="L258" s="43"/>
      <c r="M258" s="43"/>
      <c r="N258" s="43"/>
      <c r="O258" s="43"/>
      <c r="P258" s="46">
        <v>243</v>
      </c>
      <c r="Q258" s="47"/>
      <c r="R258" s="40"/>
      <c r="S258" s="42"/>
      <c r="T258" s="41"/>
      <c r="U258" s="41"/>
      <c r="V258" s="48" t="s">
        <v>453</v>
      </c>
      <c r="W258" s="43"/>
      <c r="X258" s="44">
        <v>46190</v>
      </c>
      <c r="Y258" s="41" t="s">
        <v>454</v>
      </c>
      <c r="Z258" s="41"/>
      <c r="AA258" s="41"/>
      <c r="AB258" s="41" t="s">
        <v>937</v>
      </c>
      <c r="AC258" s="49"/>
      <c r="AD258" s="49">
        <v>1212</v>
      </c>
      <c r="AE258" s="50"/>
      <c r="AF258" s="51"/>
      <c r="AG258" s="51"/>
      <c r="AH258" s="52"/>
      <c r="AI258" s="52"/>
      <c r="AJ258" s="53"/>
      <c r="AK258" s="52"/>
      <c r="AL258" s="43">
        <v>18</v>
      </c>
      <c r="AM258" s="168" t="s">
        <v>938</v>
      </c>
      <c r="AN258" s="36"/>
      <c r="AO258" s="36"/>
      <c r="AP258" s="37"/>
    </row>
    <row r="259" spans="1:42" s="38" customFormat="1" ht="18.75" customHeight="1" x14ac:dyDescent="0.25">
      <c r="A259" s="44">
        <v>46190</v>
      </c>
      <c r="B259" s="40">
        <f t="shared" si="6"/>
        <v>46190</v>
      </c>
      <c r="C259" s="41" t="s">
        <v>85</v>
      </c>
      <c r="D259" s="45" t="s">
        <v>86</v>
      </c>
      <c r="E259" s="45">
        <v>31657</v>
      </c>
      <c r="F259" s="45">
        <v>1</v>
      </c>
      <c r="G259" s="191">
        <v>20070172</v>
      </c>
      <c r="H259" s="54" t="s">
        <v>303</v>
      </c>
      <c r="I259" s="42"/>
      <c r="J259" s="43"/>
      <c r="K259" s="43">
        <f t="shared" si="7"/>
        <v>162</v>
      </c>
      <c r="L259" s="43"/>
      <c r="M259" s="43"/>
      <c r="N259" s="43"/>
      <c r="O259" s="43"/>
      <c r="P259" s="46">
        <v>162</v>
      </c>
      <c r="Q259" s="47"/>
      <c r="R259" s="40"/>
      <c r="S259" s="42"/>
      <c r="T259" s="41"/>
      <c r="U259" s="41"/>
      <c r="V259" s="48" t="s">
        <v>453</v>
      </c>
      <c r="W259" s="43"/>
      <c r="X259" s="44">
        <v>46190</v>
      </c>
      <c r="Y259" s="41" t="s">
        <v>454</v>
      </c>
      <c r="Z259" s="41"/>
      <c r="AA259" s="41"/>
      <c r="AB259" s="41" t="s">
        <v>937</v>
      </c>
      <c r="AC259" s="49"/>
      <c r="AD259" s="49">
        <v>1212</v>
      </c>
      <c r="AE259" s="50"/>
      <c r="AF259" s="51"/>
      <c r="AG259" s="51"/>
      <c r="AH259" s="52"/>
      <c r="AI259" s="52"/>
      <c r="AJ259" s="53"/>
      <c r="AK259" s="52"/>
      <c r="AL259" s="43">
        <v>18</v>
      </c>
      <c r="AM259" s="168" t="s">
        <v>938</v>
      </c>
      <c r="AN259" s="36"/>
      <c r="AO259" s="36"/>
      <c r="AP259" s="37"/>
    </row>
    <row r="260" spans="1:42" s="102" customFormat="1" ht="18.75" customHeight="1" x14ac:dyDescent="0.25">
      <c r="A260" s="150">
        <v>46190</v>
      </c>
      <c r="B260" s="151">
        <f t="shared" si="6"/>
        <v>46190</v>
      </c>
      <c r="C260" s="152" t="s">
        <v>924</v>
      </c>
      <c r="D260" s="153" t="s">
        <v>87</v>
      </c>
      <c r="E260" s="153">
        <v>159</v>
      </c>
      <c r="F260" s="153">
        <v>1</v>
      </c>
      <c r="G260" s="193">
        <v>20070172</v>
      </c>
      <c r="H260" s="154" t="s">
        <v>303</v>
      </c>
      <c r="I260" s="155"/>
      <c r="J260" s="156"/>
      <c r="K260" s="156">
        <f t="shared" si="7"/>
        <v>-405</v>
      </c>
      <c r="L260" s="156"/>
      <c r="M260" s="156"/>
      <c r="N260" s="156"/>
      <c r="O260" s="156"/>
      <c r="P260" s="157">
        <v>-405</v>
      </c>
      <c r="Q260" s="158"/>
      <c r="R260" s="151">
        <v>46190</v>
      </c>
      <c r="S260" s="152" t="s">
        <v>85</v>
      </c>
      <c r="T260" s="152" t="s">
        <v>86</v>
      </c>
      <c r="U260" s="152">
        <v>31655</v>
      </c>
      <c r="V260" s="48" t="s">
        <v>453</v>
      </c>
      <c r="W260" s="156"/>
      <c r="X260" s="150">
        <v>46190</v>
      </c>
      <c r="Y260" s="41" t="s">
        <v>454</v>
      </c>
      <c r="Z260" s="152"/>
      <c r="AA260" s="152"/>
      <c r="AB260" s="41" t="s">
        <v>937</v>
      </c>
      <c r="AC260" s="49"/>
      <c r="AD260" s="49">
        <v>1212</v>
      </c>
      <c r="AE260" s="159"/>
      <c r="AF260" s="160"/>
      <c r="AG260" s="160"/>
      <c r="AH260" s="161"/>
      <c r="AI260" s="161"/>
      <c r="AJ260" s="162"/>
      <c r="AK260" s="161"/>
      <c r="AL260" s="43">
        <v>18</v>
      </c>
      <c r="AM260" s="168" t="s">
        <v>938</v>
      </c>
      <c r="AN260" s="100"/>
      <c r="AO260" s="100"/>
      <c r="AP260" s="101"/>
    </row>
    <row r="261" spans="1:42" s="38" customFormat="1" ht="18.75" customHeight="1" x14ac:dyDescent="0.25">
      <c r="A261" s="44">
        <v>46190</v>
      </c>
      <c r="B261" s="40">
        <f t="shared" ref="B261:B324" si="8">+A261</f>
        <v>46190</v>
      </c>
      <c r="C261" s="41" t="s">
        <v>85</v>
      </c>
      <c r="D261" s="45" t="s">
        <v>86</v>
      </c>
      <c r="E261" s="45">
        <v>31658</v>
      </c>
      <c r="F261" s="45">
        <v>6</v>
      </c>
      <c r="G261" s="191">
        <v>20568173016</v>
      </c>
      <c r="H261" s="54" t="s">
        <v>116</v>
      </c>
      <c r="I261" s="42"/>
      <c r="J261" s="43"/>
      <c r="K261" s="43">
        <f t="shared" ref="K261:K324" si="9">+P261</f>
        <v>15</v>
      </c>
      <c r="L261" s="43"/>
      <c r="M261" s="43"/>
      <c r="N261" s="43"/>
      <c r="O261" s="43"/>
      <c r="P261" s="46">
        <v>15</v>
      </c>
      <c r="Q261" s="47"/>
      <c r="R261" s="40"/>
      <c r="S261" s="42"/>
      <c r="T261" s="41"/>
      <c r="U261" s="41"/>
      <c r="V261" s="48" t="s">
        <v>453</v>
      </c>
      <c r="W261" s="43"/>
      <c r="X261" s="44">
        <v>46190</v>
      </c>
      <c r="Y261" s="41" t="s">
        <v>454</v>
      </c>
      <c r="Z261" s="41"/>
      <c r="AA261" s="41"/>
      <c r="AB261" s="41" t="s">
        <v>937</v>
      </c>
      <c r="AC261" s="49"/>
      <c r="AD261" s="49">
        <v>1212</v>
      </c>
      <c r="AE261" s="50"/>
      <c r="AF261" s="51"/>
      <c r="AG261" s="51"/>
      <c r="AH261" s="52"/>
      <c r="AI261" s="52"/>
      <c r="AJ261" s="53"/>
      <c r="AK261" s="52"/>
      <c r="AL261" s="43">
        <v>18</v>
      </c>
      <c r="AM261" s="168" t="s">
        <v>938</v>
      </c>
      <c r="AN261" s="36"/>
      <c r="AO261" s="36"/>
      <c r="AP261" s="37"/>
    </row>
    <row r="262" spans="1:42" s="38" customFormat="1" ht="18.75" customHeight="1" x14ac:dyDescent="0.25">
      <c r="A262" s="44">
        <v>46190</v>
      </c>
      <c r="B262" s="40">
        <f t="shared" si="8"/>
        <v>46190</v>
      </c>
      <c r="C262" s="41" t="s">
        <v>85</v>
      </c>
      <c r="D262" s="45" t="s">
        <v>86</v>
      </c>
      <c r="E262" s="45">
        <v>31659</v>
      </c>
      <c r="F262" s="45">
        <v>6</v>
      </c>
      <c r="G262" s="191">
        <v>20518164717</v>
      </c>
      <c r="H262" s="54" t="s">
        <v>118</v>
      </c>
      <c r="I262" s="42"/>
      <c r="J262" s="43"/>
      <c r="K262" s="43">
        <f t="shared" si="9"/>
        <v>18.600000000000001</v>
      </c>
      <c r="L262" s="43"/>
      <c r="M262" s="43"/>
      <c r="N262" s="43"/>
      <c r="O262" s="43"/>
      <c r="P262" s="46">
        <v>18.600000000000001</v>
      </c>
      <c r="Q262" s="47"/>
      <c r="R262" s="40"/>
      <c r="S262" s="42"/>
      <c r="T262" s="41"/>
      <c r="U262" s="41"/>
      <c r="V262" s="48" t="s">
        <v>453</v>
      </c>
      <c r="W262" s="43"/>
      <c r="X262" s="44">
        <v>46190</v>
      </c>
      <c r="Y262" s="41" t="s">
        <v>454</v>
      </c>
      <c r="Z262" s="41"/>
      <c r="AA262" s="41"/>
      <c r="AB262" s="41" t="s">
        <v>937</v>
      </c>
      <c r="AC262" s="49"/>
      <c r="AD262" s="49">
        <v>1212</v>
      </c>
      <c r="AE262" s="50"/>
      <c r="AF262" s="51"/>
      <c r="AG262" s="51"/>
      <c r="AH262" s="52"/>
      <c r="AI262" s="52"/>
      <c r="AJ262" s="53"/>
      <c r="AK262" s="52"/>
      <c r="AL262" s="43">
        <v>18</v>
      </c>
      <c r="AM262" s="168" t="s">
        <v>938</v>
      </c>
      <c r="AN262" s="36"/>
      <c r="AO262" s="36"/>
      <c r="AP262" s="37"/>
    </row>
    <row r="263" spans="1:42" s="38" customFormat="1" ht="18.75" customHeight="1" x14ac:dyDescent="0.25">
      <c r="A263" s="44">
        <v>46190</v>
      </c>
      <c r="B263" s="40">
        <f t="shared" si="8"/>
        <v>46190</v>
      </c>
      <c r="C263" s="41" t="s">
        <v>85</v>
      </c>
      <c r="D263" s="45" t="s">
        <v>86</v>
      </c>
      <c r="E263" s="45">
        <v>31660</v>
      </c>
      <c r="F263" s="45">
        <v>1</v>
      </c>
      <c r="G263" s="191">
        <v>20106856</v>
      </c>
      <c r="H263" s="54" t="s">
        <v>304</v>
      </c>
      <c r="I263" s="42"/>
      <c r="J263" s="43"/>
      <c r="K263" s="43">
        <f t="shared" si="9"/>
        <v>96.5</v>
      </c>
      <c r="L263" s="43"/>
      <c r="M263" s="43"/>
      <c r="N263" s="43"/>
      <c r="O263" s="43"/>
      <c r="P263" s="46">
        <v>96.5</v>
      </c>
      <c r="Q263" s="47"/>
      <c r="R263" s="40"/>
      <c r="S263" s="42"/>
      <c r="T263" s="41"/>
      <c r="U263" s="41"/>
      <c r="V263" s="48" t="s">
        <v>453</v>
      </c>
      <c r="W263" s="43"/>
      <c r="X263" s="44">
        <v>46190</v>
      </c>
      <c r="Y263" s="41" t="s">
        <v>454</v>
      </c>
      <c r="Z263" s="41"/>
      <c r="AA263" s="41"/>
      <c r="AB263" s="41" t="s">
        <v>937</v>
      </c>
      <c r="AC263" s="49"/>
      <c r="AD263" s="49">
        <v>1212</v>
      </c>
      <c r="AE263" s="50"/>
      <c r="AF263" s="51"/>
      <c r="AG263" s="51"/>
      <c r="AH263" s="52"/>
      <c r="AI263" s="52"/>
      <c r="AJ263" s="53"/>
      <c r="AK263" s="52"/>
      <c r="AL263" s="43">
        <v>18</v>
      </c>
      <c r="AM263" s="168" t="s">
        <v>938</v>
      </c>
      <c r="AN263" s="36"/>
      <c r="AO263" s="36"/>
      <c r="AP263" s="37"/>
    </row>
    <row r="264" spans="1:42" s="38" customFormat="1" ht="18.75" customHeight="1" x14ac:dyDescent="0.25">
      <c r="A264" s="44">
        <v>46190</v>
      </c>
      <c r="B264" s="40">
        <f t="shared" si="8"/>
        <v>46190</v>
      </c>
      <c r="C264" s="41" t="s">
        <v>85</v>
      </c>
      <c r="D264" s="45" t="s">
        <v>86</v>
      </c>
      <c r="E264" s="45">
        <v>31661</v>
      </c>
      <c r="F264" s="45">
        <v>1</v>
      </c>
      <c r="G264" s="191">
        <v>40483845</v>
      </c>
      <c r="H264" s="54" t="s">
        <v>305</v>
      </c>
      <c r="I264" s="42"/>
      <c r="J264" s="43"/>
      <c r="K264" s="43">
        <f t="shared" si="9"/>
        <v>90.2</v>
      </c>
      <c r="L264" s="43"/>
      <c r="M264" s="43"/>
      <c r="N264" s="43"/>
      <c r="O264" s="43"/>
      <c r="P264" s="46">
        <v>90.2</v>
      </c>
      <c r="Q264" s="47"/>
      <c r="R264" s="40"/>
      <c r="S264" s="42"/>
      <c r="T264" s="41"/>
      <c r="U264" s="41"/>
      <c r="V264" s="48" t="s">
        <v>453</v>
      </c>
      <c r="W264" s="43"/>
      <c r="X264" s="44">
        <v>46190</v>
      </c>
      <c r="Y264" s="41" t="s">
        <v>454</v>
      </c>
      <c r="Z264" s="41"/>
      <c r="AA264" s="41"/>
      <c r="AB264" s="41" t="s">
        <v>937</v>
      </c>
      <c r="AC264" s="49"/>
      <c r="AD264" s="49">
        <v>1212</v>
      </c>
      <c r="AE264" s="50"/>
      <c r="AF264" s="51"/>
      <c r="AG264" s="51"/>
      <c r="AH264" s="52"/>
      <c r="AI264" s="52"/>
      <c r="AJ264" s="53"/>
      <c r="AK264" s="52"/>
      <c r="AL264" s="43">
        <v>18</v>
      </c>
      <c r="AM264" s="168" t="s">
        <v>938</v>
      </c>
      <c r="AN264" s="36"/>
      <c r="AO264" s="36"/>
      <c r="AP264" s="37"/>
    </row>
    <row r="265" spans="1:42" s="38" customFormat="1" ht="18.75" customHeight="1" x14ac:dyDescent="0.25">
      <c r="A265" s="44">
        <v>46190</v>
      </c>
      <c r="B265" s="40">
        <f t="shared" si="8"/>
        <v>46190</v>
      </c>
      <c r="C265" s="41" t="s">
        <v>85</v>
      </c>
      <c r="D265" s="45" t="s">
        <v>86</v>
      </c>
      <c r="E265" s="45">
        <v>31662</v>
      </c>
      <c r="F265" s="45">
        <v>6</v>
      </c>
      <c r="G265" s="191">
        <v>20602434631</v>
      </c>
      <c r="H265" s="54" t="s">
        <v>306</v>
      </c>
      <c r="I265" s="42"/>
      <c r="J265" s="43"/>
      <c r="K265" s="43">
        <f t="shared" si="9"/>
        <v>75</v>
      </c>
      <c r="L265" s="43"/>
      <c r="M265" s="43"/>
      <c r="N265" s="43"/>
      <c r="O265" s="43"/>
      <c r="P265" s="46">
        <v>75</v>
      </c>
      <c r="Q265" s="47"/>
      <c r="R265" s="40"/>
      <c r="S265" s="42"/>
      <c r="T265" s="41"/>
      <c r="U265" s="41"/>
      <c r="V265" s="48" t="s">
        <v>453</v>
      </c>
      <c r="W265" s="43"/>
      <c r="X265" s="44">
        <v>46190</v>
      </c>
      <c r="Y265" s="41" t="s">
        <v>454</v>
      </c>
      <c r="Z265" s="41"/>
      <c r="AA265" s="41"/>
      <c r="AB265" s="41" t="s">
        <v>937</v>
      </c>
      <c r="AC265" s="49"/>
      <c r="AD265" s="49">
        <v>1212</v>
      </c>
      <c r="AE265" s="50"/>
      <c r="AF265" s="51"/>
      <c r="AG265" s="51"/>
      <c r="AH265" s="52"/>
      <c r="AI265" s="52"/>
      <c r="AJ265" s="53"/>
      <c r="AK265" s="52"/>
      <c r="AL265" s="43">
        <v>18</v>
      </c>
      <c r="AM265" s="168" t="s">
        <v>938</v>
      </c>
      <c r="AN265" s="36"/>
      <c r="AO265" s="36"/>
      <c r="AP265" s="37"/>
    </row>
    <row r="266" spans="1:42" s="38" customFormat="1" ht="18.75" customHeight="1" x14ac:dyDescent="0.25">
      <c r="A266" s="44">
        <v>46190</v>
      </c>
      <c r="B266" s="40">
        <f t="shared" si="8"/>
        <v>46190</v>
      </c>
      <c r="C266" s="41" t="s">
        <v>85</v>
      </c>
      <c r="D266" s="45" t="s">
        <v>86</v>
      </c>
      <c r="E266" s="45">
        <v>31663</v>
      </c>
      <c r="F266" s="45">
        <v>6</v>
      </c>
      <c r="G266" s="191">
        <v>20600215079</v>
      </c>
      <c r="H266" s="54" t="s">
        <v>104</v>
      </c>
      <c r="I266" s="42"/>
      <c r="J266" s="43"/>
      <c r="K266" s="43">
        <f t="shared" si="9"/>
        <v>150</v>
      </c>
      <c r="L266" s="43"/>
      <c r="M266" s="43"/>
      <c r="N266" s="43"/>
      <c r="O266" s="43"/>
      <c r="P266" s="46">
        <v>150</v>
      </c>
      <c r="Q266" s="47"/>
      <c r="R266" s="40"/>
      <c r="S266" s="42"/>
      <c r="T266" s="41"/>
      <c r="U266" s="41"/>
      <c r="V266" s="48" t="s">
        <v>453</v>
      </c>
      <c r="W266" s="43"/>
      <c r="X266" s="44">
        <v>46190</v>
      </c>
      <c r="Y266" s="41" t="s">
        <v>454</v>
      </c>
      <c r="Z266" s="41"/>
      <c r="AA266" s="41"/>
      <c r="AB266" s="41" t="s">
        <v>937</v>
      </c>
      <c r="AC266" s="49"/>
      <c r="AD266" s="49">
        <v>1212</v>
      </c>
      <c r="AE266" s="50"/>
      <c r="AF266" s="51"/>
      <c r="AG266" s="51"/>
      <c r="AH266" s="52"/>
      <c r="AI266" s="52"/>
      <c r="AJ266" s="53"/>
      <c r="AK266" s="52"/>
      <c r="AL266" s="43">
        <v>18</v>
      </c>
      <c r="AM266" s="168" t="s">
        <v>938</v>
      </c>
      <c r="AN266" s="36"/>
      <c r="AO266" s="36"/>
      <c r="AP266" s="37"/>
    </row>
    <row r="267" spans="1:42" s="38" customFormat="1" ht="18.75" customHeight="1" x14ac:dyDescent="0.25">
      <c r="A267" s="44">
        <v>46190</v>
      </c>
      <c r="B267" s="40">
        <f t="shared" si="8"/>
        <v>46190</v>
      </c>
      <c r="C267" s="41" t="s">
        <v>85</v>
      </c>
      <c r="D267" s="45" t="s">
        <v>86</v>
      </c>
      <c r="E267" s="45">
        <v>31664</v>
      </c>
      <c r="F267" s="45">
        <v>1</v>
      </c>
      <c r="G267" s="191">
        <v>45657648</v>
      </c>
      <c r="H267" s="54" t="s">
        <v>307</v>
      </c>
      <c r="I267" s="42"/>
      <c r="J267" s="43"/>
      <c r="K267" s="43">
        <f t="shared" si="9"/>
        <v>18.399999999999999</v>
      </c>
      <c r="L267" s="43"/>
      <c r="M267" s="43"/>
      <c r="N267" s="43"/>
      <c r="O267" s="43"/>
      <c r="P267" s="46">
        <v>18.399999999999999</v>
      </c>
      <c r="Q267" s="47"/>
      <c r="R267" s="40"/>
      <c r="S267" s="42"/>
      <c r="T267" s="41"/>
      <c r="U267" s="41"/>
      <c r="V267" s="48" t="s">
        <v>453</v>
      </c>
      <c r="W267" s="43"/>
      <c r="X267" s="44">
        <v>46190</v>
      </c>
      <c r="Y267" s="41" t="s">
        <v>454</v>
      </c>
      <c r="Z267" s="41"/>
      <c r="AA267" s="41"/>
      <c r="AB267" s="41" t="s">
        <v>937</v>
      </c>
      <c r="AC267" s="49"/>
      <c r="AD267" s="49">
        <v>1212</v>
      </c>
      <c r="AE267" s="50"/>
      <c r="AF267" s="51"/>
      <c r="AG267" s="51"/>
      <c r="AH267" s="52"/>
      <c r="AI267" s="52"/>
      <c r="AJ267" s="53"/>
      <c r="AK267" s="52"/>
      <c r="AL267" s="43">
        <v>18</v>
      </c>
      <c r="AM267" s="168" t="s">
        <v>938</v>
      </c>
      <c r="AN267" s="36"/>
      <c r="AO267" s="36"/>
      <c r="AP267" s="37"/>
    </row>
    <row r="268" spans="1:42" s="38" customFormat="1" ht="18.75" customHeight="1" x14ac:dyDescent="0.25">
      <c r="A268" s="44">
        <v>46190</v>
      </c>
      <c r="B268" s="40">
        <f t="shared" si="8"/>
        <v>46190</v>
      </c>
      <c r="C268" s="41" t="s">
        <v>85</v>
      </c>
      <c r="D268" s="45" t="s">
        <v>86</v>
      </c>
      <c r="E268" s="45">
        <v>31665</v>
      </c>
      <c r="F268" s="45">
        <v>1</v>
      </c>
      <c r="G268" s="191">
        <v>21267065</v>
      </c>
      <c r="H268" s="54" t="s">
        <v>308</v>
      </c>
      <c r="I268" s="42"/>
      <c r="J268" s="43"/>
      <c r="K268" s="43">
        <f t="shared" si="9"/>
        <v>25</v>
      </c>
      <c r="L268" s="43"/>
      <c r="M268" s="43"/>
      <c r="N268" s="43"/>
      <c r="O268" s="43"/>
      <c r="P268" s="46">
        <v>25</v>
      </c>
      <c r="Q268" s="47"/>
      <c r="R268" s="40"/>
      <c r="S268" s="42"/>
      <c r="T268" s="41"/>
      <c r="U268" s="41"/>
      <c r="V268" s="48" t="s">
        <v>453</v>
      </c>
      <c r="W268" s="43"/>
      <c r="X268" s="44">
        <v>46190</v>
      </c>
      <c r="Y268" s="41" t="s">
        <v>454</v>
      </c>
      <c r="Z268" s="41"/>
      <c r="AA268" s="41"/>
      <c r="AB268" s="41" t="s">
        <v>937</v>
      </c>
      <c r="AC268" s="49"/>
      <c r="AD268" s="49">
        <v>1212</v>
      </c>
      <c r="AE268" s="50"/>
      <c r="AF268" s="51"/>
      <c r="AG268" s="51"/>
      <c r="AH268" s="52"/>
      <c r="AI268" s="52"/>
      <c r="AJ268" s="53"/>
      <c r="AK268" s="52"/>
      <c r="AL268" s="43">
        <v>18</v>
      </c>
      <c r="AM268" s="168" t="s">
        <v>938</v>
      </c>
      <c r="AN268" s="36"/>
      <c r="AO268" s="36"/>
      <c r="AP268" s="37"/>
    </row>
    <row r="269" spans="1:42" s="38" customFormat="1" ht="18.75" customHeight="1" x14ac:dyDescent="0.25">
      <c r="A269" s="44">
        <v>46190</v>
      </c>
      <c r="B269" s="40">
        <f t="shared" si="8"/>
        <v>46190</v>
      </c>
      <c r="C269" s="41" t="s">
        <v>85</v>
      </c>
      <c r="D269" s="45" t="s">
        <v>86</v>
      </c>
      <c r="E269" s="45">
        <v>31666</v>
      </c>
      <c r="F269" s="45">
        <v>1</v>
      </c>
      <c r="G269" s="191">
        <v>20690802</v>
      </c>
      <c r="H269" s="54" t="s">
        <v>309</v>
      </c>
      <c r="I269" s="42"/>
      <c r="J269" s="43"/>
      <c r="K269" s="43">
        <f t="shared" si="9"/>
        <v>170</v>
      </c>
      <c r="L269" s="43"/>
      <c r="M269" s="43"/>
      <c r="N269" s="43"/>
      <c r="O269" s="43"/>
      <c r="P269" s="46">
        <v>170</v>
      </c>
      <c r="Q269" s="47"/>
      <c r="R269" s="40"/>
      <c r="S269" s="42"/>
      <c r="T269" s="41"/>
      <c r="U269" s="41"/>
      <c r="V269" s="48" t="s">
        <v>453</v>
      </c>
      <c r="W269" s="43"/>
      <c r="X269" s="44">
        <v>46190</v>
      </c>
      <c r="Y269" s="41" t="s">
        <v>454</v>
      </c>
      <c r="Z269" s="41"/>
      <c r="AA269" s="41"/>
      <c r="AB269" s="41" t="s">
        <v>937</v>
      </c>
      <c r="AC269" s="49"/>
      <c r="AD269" s="49">
        <v>1212</v>
      </c>
      <c r="AE269" s="50"/>
      <c r="AF269" s="51"/>
      <c r="AG269" s="51"/>
      <c r="AH269" s="52"/>
      <c r="AI269" s="52"/>
      <c r="AJ269" s="53"/>
      <c r="AK269" s="52"/>
      <c r="AL269" s="43">
        <v>18</v>
      </c>
      <c r="AM269" s="168" t="s">
        <v>938</v>
      </c>
      <c r="AN269" s="36"/>
      <c r="AO269" s="36"/>
      <c r="AP269" s="37"/>
    </row>
    <row r="270" spans="1:42" s="38" customFormat="1" ht="18.75" customHeight="1" x14ac:dyDescent="0.25">
      <c r="A270" s="44">
        <v>46190</v>
      </c>
      <c r="B270" s="40">
        <f t="shared" si="8"/>
        <v>46190</v>
      </c>
      <c r="C270" s="41" t="s">
        <v>85</v>
      </c>
      <c r="D270" s="45" t="s">
        <v>86</v>
      </c>
      <c r="E270" s="45">
        <v>31667</v>
      </c>
      <c r="F270" s="45">
        <v>6</v>
      </c>
      <c r="G270" s="191">
        <v>10806339038</v>
      </c>
      <c r="H270" s="54" t="s">
        <v>310</v>
      </c>
      <c r="I270" s="42"/>
      <c r="J270" s="43"/>
      <c r="K270" s="43">
        <f t="shared" si="9"/>
        <v>123.5</v>
      </c>
      <c r="L270" s="43"/>
      <c r="M270" s="43"/>
      <c r="N270" s="43"/>
      <c r="O270" s="43"/>
      <c r="P270" s="46">
        <v>123.5</v>
      </c>
      <c r="Q270" s="47"/>
      <c r="R270" s="40"/>
      <c r="S270" s="42"/>
      <c r="T270" s="41"/>
      <c r="U270" s="41"/>
      <c r="V270" s="48" t="s">
        <v>453</v>
      </c>
      <c r="W270" s="43"/>
      <c r="X270" s="44">
        <v>46190</v>
      </c>
      <c r="Y270" s="41" t="s">
        <v>454</v>
      </c>
      <c r="Z270" s="41"/>
      <c r="AA270" s="41"/>
      <c r="AB270" s="41" t="s">
        <v>937</v>
      </c>
      <c r="AC270" s="49"/>
      <c r="AD270" s="49">
        <v>1212</v>
      </c>
      <c r="AE270" s="50"/>
      <c r="AF270" s="51"/>
      <c r="AG270" s="51"/>
      <c r="AH270" s="52"/>
      <c r="AI270" s="52"/>
      <c r="AJ270" s="53"/>
      <c r="AK270" s="52"/>
      <c r="AL270" s="43">
        <v>18</v>
      </c>
      <c r="AM270" s="168" t="s">
        <v>938</v>
      </c>
      <c r="AN270" s="36"/>
      <c r="AO270" s="36"/>
      <c r="AP270" s="37"/>
    </row>
    <row r="271" spans="1:42" s="38" customFormat="1" ht="18.75" customHeight="1" x14ac:dyDescent="0.25">
      <c r="A271" s="44">
        <v>46190</v>
      </c>
      <c r="B271" s="40">
        <f t="shared" si="8"/>
        <v>46190</v>
      </c>
      <c r="C271" s="41" t="s">
        <v>85</v>
      </c>
      <c r="D271" s="45" t="s">
        <v>86</v>
      </c>
      <c r="E271" s="45">
        <v>31668</v>
      </c>
      <c r="F271" s="45">
        <v>1</v>
      </c>
      <c r="G271" s="191">
        <v>19973380</v>
      </c>
      <c r="H271" s="54" t="s">
        <v>311</v>
      </c>
      <c r="I271" s="42"/>
      <c r="J271" s="43"/>
      <c r="K271" s="43">
        <f t="shared" si="9"/>
        <v>17</v>
      </c>
      <c r="L271" s="43"/>
      <c r="M271" s="43"/>
      <c r="N271" s="43"/>
      <c r="O271" s="43"/>
      <c r="P271" s="46">
        <v>17</v>
      </c>
      <c r="Q271" s="47"/>
      <c r="R271" s="40"/>
      <c r="S271" s="42"/>
      <c r="T271" s="41"/>
      <c r="U271" s="41"/>
      <c r="V271" s="48" t="s">
        <v>453</v>
      </c>
      <c r="W271" s="43"/>
      <c r="X271" s="44">
        <v>46190</v>
      </c>
      <c r="Y271" s="41" t="s">
        <v>454</v>
      </c>
      <c r="Z271" s="41"/>
      <c r="AA271" s="41"/>
      <c r="AB271" s="41" t="s">
        <v>937</v>
      </c>
      <c r="AC271" s="49"/>
      <c r="AD271" s="49">
        <v>1212</v>
      </c>
      <c r="AE271" s="50"/>
      <c r="AF271" s="51"/>
      <c r="AG271" s="51"/>
      <c r="AH271" s="52"/>
      <c r="AI271" s="52"/>
      <c r="AJ271" s="53"/>
      <c r="AK271" s="52"/>
      <c r="AL271" s="43">
        <v>18</v>
      </c>
      <c r="AM271" s="168" t="s">
        <v>938</v>
      </c>
      <c r="AN271" s="36"/>
      <c r="AO271" s="36"/>
      <c r="AP271" s="37"/>
    </row>
    <row r="272" spans="1:42" s="38" customFormat="1" ht="18.75" customHeight="1" x14ac:dyDescent="0.25">
      <c r="A272" s="44">
        <v>46190</v>
      </c>
      <c r="B272" s="40">
        <f t="shared" si="8"/>
        <v>46190</v>
      </c>
      <c r="C272" s="41" t="s">
        <v>85</v>
      </c>
      <c r="D272" s="45" t="s">
        <v>86</v>
      </c>
      <c r="E272" s="45">
        <v>31669</v>
      </c>
      <c r="F272" s="45">
        <v>1</v>
      </c>
      <c r="G272" s="191">
        <v>75790766</v>
      </c>
      <c r="H272" s="54" t="s">
        <v>312</v>
      </c>
      <c r="I272" s="42"/>
      <c r="J272" s="43"/>
      <c r="K272" s="43">
        <f t="shared" si="9"/>
        <v>10</v>
      </c>
      <c r="L272" s="43"/>
      <c r="M272" s="43"/>
      <c r="N272" s="43"/>
      <c r="O272" s="43"/>
      <c r="P272" s="46">
        <v>10</v>
      </c>
      <c r="Q272" s="47"/>
      <c r="R272" s="40"/>
      <c r="S272" s="42"/>
      <c r="T272" s="41"/>
      <c r="U272" s="41"/>
      <c r="V272" s="48" t="s">
        <v>453</v>
      </c>
      <c r="W272" s="43"/>
      <c r="X272" s="44">
        <v>46190</v>
      </c>
      <c r="Y272" s="41" t="s">
        <v>454</v>
      </c>
      <c r="Z272" s="41"/>
      <c r="AA272" s="41"/>
      <c r="AB272" s="41" t="s">
        <v>937</v>
      </c>
      <c r="AC272" s="49"/>
      <c r="AD272" s="49">
        <v>1212</v>
      </c>
      <c r="AE272" s="50"/>
      <c r="AF272" s="51"/>
      <c r="AG272" s="51"/>
      <c r="AH272" s="52"/>
      <c r="AI272" s="52"/>
      <c r="AJ272" s="53"/>
      <c r="AK272" s="52"/>
      <c r="AL272" s="43">
        <v>18</v>
      </c>
      <c r="AM272" s="168" t="s">
        <v>938</v>
      </c>
      <c r="AN272" s="36"/>
      <c r="AO272" s="36"/>
      <c r="AP272" s="37"/>
    </row>
    <row r="273" spans="1:42" s="38" customFormat="1" ht="18.75" customHeight="1" x14ac:dyDescent="0.25">
      <c r="A273" s="44">
        <v>46190</v>
      </c>
      <c r="B273" s="40">
        <f t="shared" si="8"/>
        <v>46190</v>
      </c>
      <c r="C273" s="41" t="s">
        <v>85</v>
      </c>
      <c r="D273" s="45" t="s">
        <v>86</v>
      </c>
      <c r="E273" s="45">
        <v>31670</v>
      </c>
      <c r="F273" s="45">
        <v>1</v>
      </c>
      <c r="G273" s="191">
        <v>42049798</v>
      </c>
      <c r="H273" s="54" t="s">
        <v>221</v>
      </c>
      <c r="I273" s="42"/>
      <c r="J273" s="43"/>
      <c r="K273" s="43">
        <f t="shared" si="9"/>
        <v>12.5</v>
      </c>
      <c r="L273" s="43"/>
      <c r="M273" s="43"/>
      <c r="N273" s="43"/>
      <c r="O273" s="43"/>
      <c r="P273" s="46">
        <v>12.5</v>
      </c>
      <c r="Q273" s="47"/>
      <c r="R273" s="40"/>
      <c r="S273" s="42"/>
      <c r="T273" s="41"/>
      <c r="U273" s="41"/>
      <c r="V273" s="48" t="s">
        <v>453</v>
      </c>
      <c r="W273" s="43"/>
      <c r="X273" s="44">
        <v>46190</v>
      </c>
      <c r="Y273" s="41" t="s">
        <v>454</v>
      </c>
      <c r="Z273" s="41"/>
      <c r="AA273" s="41"/>
      <c r="AB273" s="41" t="s">
        <v>937</v>
      </c>
      <c r="AC273" s="49"/>
      <c r="AD273" s="49">
        <v>1212</v>
      </c>
      <c r="AE273" s="50"/>
      <c r="AF273" s="51"/>
      <c r="AG273" s="51"/>
      <c r="AH273" s="52"/>
      <c r="AI273" s="52"/>
      <c r="AJ273" s="53"/>
      <c r="AK273" s="52"/>
      <c r="AL273" s="43">
        <v>18</v>
      </c>
      <c r="AM273" s="168" t="s">
        <v>938</v>
      </c>
      <c r="AN273" s="36"/>
      <c r="AO273" s="36"/>
      <c r="AP273" s="37"/>
    </row>
    <row r="274" spans="1:42" s="38" customFormat="1" ht="18.75" customHeight="1" x14ac:dyDescent="0.25">
      <c r="A274" s="44">
        <v>46190</v>
      </c>
      <c r="B274" s="40">
        <f t="shared" si="8"/>
        <v>46190</v>
      </c>
      <c r="C274" s="41" t="s">
        <v>85</v>
      </c>
      <c r="D274" s="45" t="s">
        <v>86</v>
      </c>
      <c r="E274" s="45">
        <v>31671</v>
      </c>
      <c r="F274" s="45">
        <v>1</v>
      </c>
      <c r="G274" s="191">
        <v>47728716</v>
      </c>
      <c r="H274" s="54" t="s">
        <v>313</v>
      </c>
      <c r="I274" s="42"/>
      <c r="J274" s="43"/>
      <c r="K274" s="43">
        <f t="shared" si="9"/>
        <v>30</v>
      </c>
      <c r="L274" s="43"/>
      <c r="M274" s="43"/>
      <c r="N274" s="43"/>
      <c r="O274" s="43"/>
      <c r="P274" s="46">
        <v>30</v>
      </c>
      <c r="Q274" s="47"/>
      <c r="R274" s="40"/>
      <c r="S274" s="42"/>
      <c r="T274" s="41"/>
      <c r="U274" s="41"/>
      <c r="V274" s="48" t="s">
        <v>453</v>
      </c>
      <c r="W274" s="43"/>
      <c r="X274" s="44">
        <v>46190</v>
      </c>
      <c r="Y274" s="41" t="s">
        <v>454</v>
      </c>
      <c r="Z274" s="41"/>
      <c r="AA274" s="41"/>
      <c r="AB274" s="41" t="s">
        <v>937</v>
      </c>
      <c r="AC274" s="49"/>
      <c r="AD274" s="49">
        <v>1212</v>
      </c>
      <c r="AE274" s="50"/>
      <c r="AF274" s="51"/>
      <c r="AG274" s="51"/>
      <c r="AH274" s="52"/>
      <c r="AI274" s="52"/>
      <c r="AJ274" s="53"/>
      <c r="AK274" s="52"/>
      <c r="AL274" s="43">
        <v>18</v>
      </c>
      <c r="AM274" s="168" t="s">
        <v>938</v>
      </c>
      <c r="AN274" s="36"/>
      <c r="AO274" s="36"/>
      <c r="AP274" s="37"/>
    </row>
    <row r="275" spans="1:42" s="38" customFormat="1" ht="18.75" customHeight="1" x14ac:dyDescent="0.25">
      <c r="A275" s="44">
        <v>46191</v>
      </c>
      <c r="B275" s="40">
        <f t="shared" si="8"/>
        <v>46191</v>
      </c>
      <c r="C275" s="41" t="s">
        <v>85</v>
      </c>
      <c r="D275" s="45" t="s">
        <v>86</v>
      </c>
      <c r="E275" s="45">
        <v>31672</v>
      </c>
      <c r="F275" s="45">
        <v>6</v>
      </c>
      <c r="G275" s="191">
        <v>20487125921</v>
      </c>
      <c r="H275" s="54" t="s">
        <v>314</v>
      </c>
      <c r="I275" s="42"/>
      <c r="J275" s="43"/>
      <c r="K275" s="43">
        <f t="shared" si="9"/>
        <v>25</v>
      </c>
      <c r="L275" s="43"/>
      <c r="M275" s="43"/>
      <c r="N275" s="43"/>
      <c r="O275" s="43"/>
      <c r="P275" s="46">
        <v>25</v>
      </c>
      <c r="Q275" s="47"/>
      <c r="R275" s="40"/>
      <c r="S275" s="42"/>
      <c r="T275" s="41"/>
      <c r="U275" s="41"/>
      <c r="V275" s="48" t="s">
        <v>453</v>
      </c>
      <c r="W275" s="43"/>
      <c r="X275" s="44">
        <v>46191</v>
      </c>
      <c r="Y275" s="41" t="s">
        <v>454</v>
      </c>
      <c r="Z275" s="41"/>
      <c r="AA275" s="41"/>
      <c r="AB275" s="41" t="s">
        <v>937</v>
      </c>
      <c r="AC275" s="49"/>
      <c r="AD275" s="49">
        <v>1212</v>
      </c>
      <c r="AE275" s="50"/>
      <c r="AF275" s="51"/>
      <c r="AG275" s="51"/>
      <c r="AH275" s="52"/>
      <c r="AI275" s="52"/>
      <c r="AJ275" s="53"/>
      <c r="AK275" s="52"/>
      <c r="AL275" s="43">
        <v>18</v>
      </c>
      <c r="AM275" s="168" t="s">
        <v>938</v>
      </c>
      <c r="AN275" s="36"/>
      <c r="AO275" s="36"/>
      <c r="AP275" s="37"/>
    </row>
    <row r="276" spans="1:42" s="38" customFormat="1" ht="18.75" customHeight="1" x14ac:dyDescent="0.25">
      <c r="A276" s="44">
        <v>46191</v>
      </c>
      <c r="B276" s="40">
        <f t="shared" si="8"/>
        <v>46191</v>
      </c>
      <c r="C276" s="41" t="s">
        <v>85</v>
      </c>
      <c r="D276" s="45" t="s">
        <v>86</v>
      </c>
      <c r="E276" s="45">
        <v>31673</v>
      </c>
      <c r="F276" s="45">
        <v>6</v>
      </c>
      <c r="G276" s="191">
        <v>20518164717</v>
      </c>
      <c r="H276" s="54" t="s">
        <v>118</v>
      </c>
      <c r="I276" s="42"/>
      <c r="J276" s="43"/>
      <c r="K276" s="43">
        <f t="shared" si="9"/>
        <v>11.2</v>
      </c>
      <c r="L276" s="43"/>
      <c r="M276" s="43"/>
      <c r="N276" s="43"/>
      <c r="O276" s="43"/>
      <c r="P276" s="46">
        <v>11.2</v>
      </c>
      <c r="Q276" s="47"/>
      <c r="R276" s="40"/>
      <c r="S276" s="42"/>
      <c r="T276" s="41"/>
      <c r="U276" s="41"/>
      <c r="V276" s="48" t="s">
        <v>453</v>
      </c>
      <c r="W276" s="43"/>
      <c r="X276" s="44">
        <v>46191</v>
      </c>
      <c r="Y276" s="41" t="s">
        <v>454</v>
      </c>
      <c r="Z276" s="41"/>
      <c r="AA276" s="41"/>
      <c r="AB276" s="41" t="s">
        <v>937</v>
      </c>
      <c r="AC276" s="49"/>
      <c r="AD276" s="49">
        <v>1212</v>
      </c>
      <c r="AE276" s="50"/>
      <c r="AF276" s="51"/>
      <c r="AG276" s="51"/>
      <c r="AH276" s="52"/>
      <c r="AI276" s="52"/>
      <c r="AJ276" s="53"/>
      <c r="AK276" s="52"/>
      <c r="AL276" s="43">
        <v>18</v>
      </c>
      <c r="AM276" s="168" t="s">
        <v>938</v>
      </c>
      <c r="AN276" s="36"/>
      <c r="AO276" s="36"/>
      <c r="AP276" s="37"/>
    </row>
    <row r="277" spans="1:42" s="38" customFormat="1" ht="18.75" customHeight="1" x14ac:dyDescent="0.25">
      <c r="A277" s="44">
        <v>46191</v>
      </c>
      <c r="B277" s="40">
        <f t="shared" si="8"/>
        <v>46191</v>
      </c>
      <c r="C277" s="41" t="s">
        <v>85</v>
      </c>
      <c r="D277" s="45" t="s">
        <v>86</v>
      </c>
      <c r="E277" s="45">
        <v>31674</v>
      </c>
      <c r="F277" s="45">
        <v>1</v>
      </c>
      <c r="G277" s="191">
        <v>45732811</v>
      </c>
      <c r="H277" s="54" t="s">
        <v>315</v>
      </c>
      <c r="I277" s="42"/>
      <c r="J277" s="43"/>
      <c r="K277" s="43">
        <f t="shared" si="9"/>
        <v>50</v>
      </c>
      <c r="L277" s="43"/>
      <c r="M277" s="43"/>
      <c r="N277" s="43"/>
      <c r="O277" s="43"/>
      <c r="P277" s="46">
        <v>50</v>
      </c>
      <c r="Q277" s="47"/>
      <c r="R277" s="40"/>
      <c r="S277" s="42"/>
      <c r="T277" s="41"/>
      <c r="U277" s="41"/>
      <c r="V277" s="48" t="s">
        <v>453</v>
      </c>
      <c r="W277" s="43"/>
      <c r="X277" s="44">
        <v>46191</v>
      </c>
      <c r="Y277" s="41" t="s">
        <v>454</v>
      </c>
      <c r="Z277" s="41"/>
      <c r="AA277" s="41"/>
      <c r="AB277" s="41" t="s">
        <v>937</v>
      </c>
      <c r="AC277" s="49"/>
      <c r="AD277" s="49">
        <v>1212</v>
      </c>
      <c r="AE277" s="50"/>
      <c r="AF277" s="51"/>
      <c r="AG277" s="51"/>
      <c r="AH277" s="52"/>
      <c r="AI277" s="52"/>
      <c r="AJ277" s="53"/>
      <c r="AK277" s="52"/>
      <c r="AL277" s="43">
        <v>18</v>
      </c>
      <c r="AM277" s="168" t="s">
        <v>938</v>
      </c>
      <c r="AN277" s="36"/>
      <c r="AO277" s="36"/>
      <c r="AP277" s="37"/>
    </row>
    <row r="278" spans="1:42" s="38" customFormat="1" ht="18.75" customHeight="1" x14ac:dyDescent="0.25">
      <c r="A278" s="44">
        <v>46191</v>
      </c>
      <c r="B278" s="40">
        <f t="shared" si="8"/>
        <v>46191</v>
      </c>
      <c r="C278" s="41" t="s">
        <v>85</v>
      </c>
      <c r="D278" s="45" t="s">
        <v>86</v>
      </c>
      <c r="E278" s="45">
        <v>31675</v>
      </c>
      <c r="F278" s="45">
        <v>1</v>
      </c>
      <c r="G278" s="191">
        <v>71016054</v>
      </c>
      <c r="H278" s="54" t="s">
        <v>316</v>
      </c>
      <c r="I278" s="42"/>
      <c r="J278" s="43"/>
      <c r="K278" s="43">
        <f t="shared" si="9"/>
        <v>50</v>
      </c>
      <c r="L278" s="43"/>
      <c r="M278" s="43"/>
      <c r="N278" s="43"/>
      <c r="O278" s="43"/>
      <c r="P278" s="46">
        <v>50</v>
      </c>
      <c r="Q278" s="47"/>
      <c r="R278" s="40"/>
      <c r="S278" s="42"/>
      <c r="T278" s="41"/>
      <c r="U278" s="41"/>
      <c r="V278" s="48" t="s">
        <v>453</v>
      </c>
      <c r="W278" s="43"/>
      <c r="X278" s="44">
        <v>46191</v>
      </c>
      <c r="Y278" s="41" t="s">
        <v>454</v>
      </c>
      <c r="Z278" s="41"/>
      <c r="AA278" s="41"/>
      <c r="AB278" s="41" t="s">
        <v>937</v>
      </c>
      <c r="AC278" s="49"/>
      <c r="AD278" s="49">
        <v>1212</v>
      </c>
      <c r="AE278" s="50"/>
      <c r="AF278" s="51"/>
      <c r="AG278" s="51"/>
      <c r="AH278" s="52"/>
      <c r="AI278" s="52"/>
      <c r="AJ278" s="53"/>
      <c r="AK278" s="52"/>
      <c r="AL278" s="43">
        <v>18</v>
      </c>
      <c r="AM278" s="168" t="s">
        <v>938</v>
      </c>
      <c r="AN278" s="36"/>
      <c r="AO278" s="36"/>
      <c r="AP278" s="37"/>
    </row>
    <row r="279" spans="1:42" s="38" customFormat="1" ht="18.75" customHeight="1" x14ac:dyDescent="0.25">
      <c r="A279" s="44">
        <v>46191</v>
      </c>
      <c r="B279" s="40">
        <f t="shared" si="8"/>
        <v>46191</v>
      </c>
      <c r="C279" s="41" t="s">
        <v>85</v>
      </c>
      <c r="D279" s="45" t="s">
        <v>86</v>
      </c>
      <c r="E279" s="45">
        <v>31676</v>
      </c>
      <c r="F279" s="45">
        <v>1</v>
      </c>
      <c r="G279" s="191">
        <v>45732811</v>
      </c>
      <c r="H279" s="54" t="s">
        <v>315</v>
      </c>
      <c r="I279" s="42"/>
      <c r="J279" s="43"/>
      <c r="K279" s="43">
        <f t="shared" si="9"/>
        <v>50</v>
      </c>
      <c r="L279" s="43"/>
      <c r="M279" s="43"/>
      <c r="N279" s="43"/>
      <c r="O279" s="43"/>
      <c r="P279" s="46">
        <v>50</v>
      </c>
      <c r="Q279" s="47"/>
      <c r="R279" s="40"/>
      <c r="S279" s="42"/>
      <c r="T279" s="41"/>
      <c r="U279" s="41"/>
      <c r="V279" s="48" t="s">
        <v>453</v>
      </c>
      <c r="W279" s="43"/>
      <c r="X279" s="44">
        <v>46191</v>
      </c>
      <c r="Y279" s="41" t="s">
        <v>454</v>
      </c>
      <c r="Z279" s="41"/>
      <c r="AA279" s="41"/>
      <c r="AB279" s="41" t="s">
        <v>937</v>
      </c>
      <c r="AC279" s="49"/>
      <c r="AD279" s="49">
        <v>1212</v>
      </c>
      <c r="AE279" s="50"/>
      <c r="AF279" s="51"/>
      <c r="AG279" s="51"/>
      <c r="AH279" s="52"/>
      <c r="AI279" s="52"/>
      <c r="AJ279" s="53"/>
      <c r="AK279" s="52"/>
      <c r="AL279" s="43">
        <v>18</v>
      </c>
      <c r="AM279" s="168" t="s">
        <v>938</v>
      </c>
      <c r="AN279" s="36"/>
      <c r="AO279" s="36"/>
      <c r="AP279" s="37"/>
    </row>
    <row r="280" spans="1:42" s="38" customFormat="1" ht="18.75" customHeight="1" x14ac:dyDescent="0.25">
      <c r="A280" s="44">
        <v>46191</v>
      </c>
      <c r="B280" s="40">
        <f t="shared" si="8"/>
        <v>46191</v>
      </c>
      <c r="C280" s="41" t="s">
        <v>85</v>
      </c>
      <c r="D280" s="45" t="s">
        <v>86</v>
      </c>
      <c r="E280" s="45">
        <v>31677</v>
      </c>
      <c r="F280" s="45">
        <v>1</v>
      </c>
      <c r="G280" s="191">
        <v>71016054</v>
      </c>
      <c r="H280" s="54" t="s">
        <v>316</v>
      </c>
      <c r="I280" s="42"/>
      <c r="J280" s="43"/>
      <c r="K280" s="43">
        <f t="shared" si="9"/>
        <v>37.5</v>
      </c>
      <c r="L280" s="43"/>
      <c r="M280" s="43"/>
      <c r="N280" s="43"/>
      <c r="O280" s="43"/>
      <c r="P280" s="46">
        <v>37.5</v>
      </c>
      <c r="Q280" s="47"/>
      <c r="R280" s="40"/>
      <c r="S280" s="42"/>
      <c r="T280" s="41"/>
      <c r="U280" s="41"/>
      <c r="V280" s="48" t="s">
        <v>453</v>
      </c>
      <c r="W280" s="43"/>
      <c r="X280" s="44">
        <v>46191</v>
      </c>
      <c r="Y280" s="41" t="s">
        <v>454</v>
      </c>
      <c r="Z280" s="41"/>
      <c r="AA280" s="41"/>
      <c r="AB280" s="41" t="s">
        <v>937</v>
      </c>
      <c r="AC280" s="49"/>
      <c r="AD280" s="49">
        <v>1212</v>
      </c>
      <c r="AE280" s="50"/>
      <c r="AF280" s="51"/>
      <c r="AG280" s="51"/>
      <c r="AH280" s="52"/>
      <c r="AI280" s="52"/>
      <c r="AJ280" s="53"/>
      <c r="AK280" s="52"/>
      <c r="AL280" s="43">
        <v>18</v>
      </c>
      <c r="AM280" s="168" t="s">
        <v>938</v>
      </c>
      <c r="AN280" s="36"/>
      <c r="AO280" s="36"/>
      <c r="AP280" s="37"/>
    </row>
    <row r="281" spans="1:42" s="38" customFormat="1" ht="18.75" customHeight="1" x14ac:dyDescent="0.25">
      <c r="A281" s="44">
        <v>46191</v>
      </c>
      <c r="B281" s="40">
        <f t="shared" si="8"/>
        <v>46191</v>
      </c>
      <c r="C281" s="41" t="s">
        <v>85</v>
      </c>
      <c r="D281" s="45" t="s">
        <v>86</v>
      </c>
      <c r="E281" s="45">
        <v>31678</v>
      </c>
      <c r="F281" s="45">
        <v>1</v>
      </c>
      <c r="G281" s="191">
        <v>70380157</v>
      </c>
      <c r="H281" s="54" t="s">
        <v>194</v>
      </c>
      <c r="I281" s="42"/>
      <c r="J281" s="43"/>
      <c r="K281" s="43">
        <f t="shared" si="9"/>
        <v>47.7</v>
      </c>
      <c r="L281" s="43"/>
      <c r="M281" s="43"/>
      <c r="N281" s="43"/>
      <c r="O281" s="43"/>
      <c r="P281" s="46">
        <v>47.7</v>
      </c>
      <c r="Q281" s="47"/>
      <c r="R281" s="40"/>
      <c r="S281" s="42"/>
      <c r="T281" s="41"/>
      <c r="U281" s="41"/>
      <c r="V281" s="48" t="s">
        <v>453</v>
      </c>
      <c r="W281" s="43"/>
      <c r="X281" s="44">
        <v>46191</v>
      </c>
      <c r="Y281" s="41" t="s">
        <v>454</v>
      </c>
      <c r="Z281" s="41"/>
      <c r="AA281" s="41"/>
      <c r="AB281" s="41" t="s">
        <v>937</v>
      </c>
      <c r="AC281" s="49"/>
      <c r="AD281" s="49">
        <v>1212</v>
      </c>
      <c r="AE281" s="50"/>
      <c r="AF281" s="51"/>
      <c r="AG281" s="51"/>
      <c r="AH281" s="52"/>
      <c r="AI281" s="52"/>
      <c r="AJ281" s="53"/>
      <c r="AK281" s="52"/>
      <c r="AL281" s="43">
        <v>18</v>
      </c>
      <c r="AM281" s="168" t="s">
        <v>938</v>
      </c>
      <c r="AN281" s="36"/>
      <c r="AO281" s="36"/>
      <c r="AP281" s="37"/>
    </row>
    <row r="282" spans="1:42" s="38" customFormat="1" ht="18.75" customHeight="1" x14ac:dyDescent="0.25">
      <c r="A282" s="44">
        <v>46191</v>
      </c>
      <c r="B282" s="40">
        <f t="shared" si="8"/>
        <v>46191</v>
      </c>
      <c r="C282" s="41" t="s">
        <v>85</v>
      </c>
      <c r="D282" s="45" t="s">
        <v>86</v>
      </c>
      <c r="E282" s="45">
        <v>31679</v>
      </c>
      <c r="F282" s="45">
        <v>1</v>
      </c>
      <c r="G282" s="191">
        <v>23260205</v>
      </c>
      <c r="H282" s="54" t="s">
        <v>317</v>
      </c>
      <c r="I282" s="42"/>
      <c r="J282" s="43"/>
      <c r="K282" s="43">
        <f t="shared" si="9"/>
        <v>54.9</v>
      </c>
      <c r="L282" s="43"/>
      <c r="M282" s="43"/>
      <c r="N282" s="43"/>
      <c r="O282" s="43"/>
      <c r="P282" s="46">
        <v>54.9</v>
      </c>
      <c r="Q282" s="47"/>
      <c r="R282" s="40"/>
      <c r="S282" s="42"/>
      <c r="T282" s="41"/>
      <c r="U282" s="41"/>
      <c r="V282" s="48" t="s">
        <v>453</v>
      </c>
      <c r="W282" s="43"/>
      <c r="X282" s="44">
        <v>46191</v>
      </c>
      <c r="Y282" s="41" t="s">
        <v>454</v>
      </c>
      <c r="Z282" s="41"/>
      <c r="AA282" s="41"/>
      <c r="AB282" s="41" t="s">
        <v>937</v>
      </c>
      <c r="AC282" s="49"/>
      <c r="AD282" s="49">
        <v>1212</v>
      </c>
      <c r="AE282" s="50"/>
      <c r="AF282" s="51"/>
      <c r="AG282" s="51"/>
      <c r="AH282" s="52"/>
      <c r="AI282" s="52"/>
      <c r="AJ282" s="53"/>
      <c r="AK282" s="52"/>
      <c r="AL282" s="43">
        <v>18</v>
      </c>
      <c r="AM282" s="168" t="s">
        <v>938</v>
      </c>
      <c r="AN282" s="36"/>
      <c r="AO282" s="36"/>
      <c r="AP282" s="37"/>
    </row>
    <row r="283" spans="1:42" s="38" customFormat="1" ht="18.75" customHeight="1" x14ac:dyDescent="0.25">
      <c r="A283" s="44">
        <v>46191</v>
      </c>
      <c r="B283" s="40">
        <f t="shared" si="8"/>
        <v>46191</v>
      </c>
      <c r="C283" s="41" t="s">
        <v>85</v>
      </c>
      <c r="D283" s="45" t="s">
        <v>86</v>
      </c>
      <c r="E283" s="45">
        <v>31680</v>
      </c>
      <c r="F283" s="45">
        <v>1</v>
      </c>
      <c r="G283" s="191">
        <v>75460795</v>
      </c>
      <c r="H283" s="54" t="s">
        <v>318</v>
      </c>
      <c r="I283" s="42"/>
      <c r="J283" s="43"/>
      <c r="K283" s="43">
        <f t="shared" si="9"/>
        <v>62.15</v>
      </c>
      <c r="L283" s="43"/>
      <c r="M283" s="43"/>
      <c r="N283" s="43"/>
      <c r="O283" s="43"/>
      <c r="P283" s="46">
        <v>62.15</v>
      </c>
      <c r="Q283" s="47"/>
      <c r="R283" s="40"/>
      <c r="S283" s="42"/>
      <c r="T283" s="41"/>
      <c r="U283" s="41"/>
      <c r="V283" s="48" t="s">
        <v>453</v>
      </c>
      <c r="W283" s="43"/>
      <c r="X283" s="44">
        <v>46191</v>
      </c>
      <c r="Y283" s="41" t="s">
        <v>454</v>
      </c>
      <c r="Z283" s="41"/>
      <c r="AA283" s="41"/>
      <c r="AB283" s="41" t="s">
        <v>937</v>
      </c>
      <c r="AC283" s="49"/>
      <c r="AD283" s="49">
        <v>1212</v>
      </c>
      <c r="AE283" s="50"/>
      <c r="AF283" s="51"/>
      <c r="AG283" s="51"/>
      <c r="AH283" s="52"/>
      <c r="AI283" s="52"/>
      <c r="AJ283" s="53"/>
      <c r="AK283" s="52"/>
      <c r="AL283" s="43">
        <v>18</v>
      </c>
      <c r="AM283" s="168" t="s">
        <v>938</v>
      </c>
      <c r="AN283" s="36"/>
      <c r="AO283" s="36"/>
      <c r="AP283" s="37"/>
    </row>
    <row r="284" spans="1:42" s="38" customFormat="1" ht="18.75" customHeight="1" x14ac:dyDescent="0.25">
      <c r="A284" s="44">
        <v>46191</v>
      </c>
      <c r="B284" s="40">
        <f t="shared" si="8"/>
        <v>46191</v>
      </c>
      <c r="C284" s="41" t="s">
        <v>85</v>
      </c>
      <c r="D284" s="45" t="s">
        <v>86</v>
      </c>
      <c r="E284" s="45">
        <v>31681</v>
      </c>
      <c r="F284" s="45">
        <v>1</v>
      </c>
      <c r="G284" s="191">
        <v>20894616</v>
      </c>
      <c r="H284" s="54" t="s">
        <v>319</v>
      </c>
      <c r="I284" s="42"/>
      <c r="J284" s="43"/>
      <c r="K284" s="43">
        <f t="shared" si="9"/>
        <v>20</v>
      </c>
      <c r="L284" s="43"/>
      <c r="M284" s="43"/>
      <c r="N284" s="43"/>
      <c r="O284" s="43"/>
      <c r="P284" s="46">
        <v>20</v>
      </c>
      <c r="Q284" s="47"/>
      <c r="R284" s="40"/>
      <c r="S284" s="42"/>
      <c r="T284" s="41"/>
      <c r="U284" s="41"/>
      <c r="V284" s="48" t="s">
        <v>453</v>
      </c>
      <c r="W284" s="43"/>
      <c r="X284" s="44">
        <v>46191</v>
      </c>
      <c r="Y284" s="41" t="s">
        <v>454</v>
      </c>
      <c r="Z284" s="41"/>
      <c r="AA284" s="41"/>
      <c r="AB284" s="41" t="s">
        <v>937</v>
      </c>
      <c r="AC284" s="49"/>
      <c r="AD284" s="49">
        <v>1212</v>
      </c>
      <c r="AE284" s="50"/>
      <c r="AF284" s="51"/>
      <c r="AG284" s="51"/>
      <c r="AH284" s="52"/>
      <c r="AI284" s="52"/>
      <c r="AJ284" s="53"/>
      <c r="AK284" s="52"/>
      <c r="AL284" s="43">
        <v>18</v>
      </c>
      <c r="AM284" s="168" t="s">
        <v>938</v>
      </c>
      <c r="AN284" s="36"/>
      <c r="AO284" s="36"/>
      <c r="AP284" s="37"/>
    </row>
    <row r="285" spans="1:42" s="38" customFormat="1" ht="18.75" customHeight="1" x14ac:dyDescent="0.25">
      <c r="A285" s="44">
        <v>46191</v>
      </c>
      <c r="B285" s="40">
        <f t="shared" si="8"/>
        <v>46191</v>
      </c>
      <c r="C285" s="41" t="s">
        <v>85</v>
      </c>
      <c r="D285" s="45" t="s">
        <v>86</v>
      </c>
      <c r="E285" s="45">
        <v>31682</v>
      </c>
      <c r="F285" s="45">
        <v>1</v>
      </c>
      <c r="G285" s="191">
        <v>45004051</v>
      </c>
      <c r="H285" s="54" t="s">
        <v>320</v>
      </c>
      <c r="I285" s="42"/>
      <c r="J285" s="43"/>
      <c r="K285" s="43">
        <f t="shared" si="9"/>
        <v>50</v>
      </c>
      <c r="L285" s="43"/>
      <c r="M285" s="43"/>
      <c r="N285" s="43"/>
      <c r="O285" s="43"/>
      <c r="P285" s="46">
        <v>50</v>
      </c>
      <c r="Q285" s="47"/>
      <c r="R285" s="40"/>
      <c r="S285" s="42"/>
      <c r="T285" s="41"/>
      <c r="U285" s="41"/>
      <c r="V285" s="48" t="s">
        <v>453</v>
      </c>
      <c r="W285" s="43"/>
      <c r="X285" s="44">
        <v>46191</v>
      </c>
      <c r="Y285" s="41" t="s">
        <v>454</v>
      </c>
      <c r="Z285" s="41"/>
      <c r="AA285" s="41"/>
      <c r="AB285" s="41" t="s">
        <v>937</v>
      </c>
      <c r="AC285" s="49"/>
      <c r="AD285" s="49">
        <v>1212</v>
      </c>
      <c r="AE285" s="50"/>
      <c r="AF285" s="51"/>
      <c r="AG285" s="51"/>
      <c r="AH285" s="52"/>
      <c r="AI285" s="52"/>
      <c r="AJ285" s="53"/>
      <c r="AK285" s="52"/>
      <c r="AL285" s="43">
        <v>18</v>
      </c>
      <c r="AM285" s="168" t="s">
        <v>938</v>
      </c>
      <c r="AN285" s="36"/>
      <c r="AO285" s="36"/>
      <c r="AP285" s="37"/>
    </row>
    <row r="286" spans="1:42" s="38" customFormat="1" ht="18.75" customHeight="1" x14ac:dyDescent="0.25">
      <c r="A286" s="44">
        <v>46191</v>
      </c>
      <c r="B286" s="40">
        <f t="shared" si="8"/>
        <v>46191</v>
      </c>
      <c r="C286" s="41" t="s">
        <v>85</v>
      </c>
      <c r="D286" s="45" t="s">
        <v>86</v>
      </c>
      <c r="E286" s="45">
        <v>31683</v>
      </c>
      <c r="F286" s="45">
        <v>1</v>
      </c>
      <c r="G286" s="191">
        <v>20432500</v>
      </c>
      <c r="H286" s="54" t="s">
        <v>321</v>
      </c>
      <c r="I286" s="42"/>
      <c r="J286" s="43"/>
      <c r="K286" s="43">
        <f t="shared" si="9"/>
        <v>345</v>
      </c>
      <c r="L286" s="43"/>
      <c r="M286" s="43"/>
      <c r="N286" s="43"/>
      <c r="O286" s="43"/>
      <c r="P286" s="46">
        <v>345</v>
      </c>
      <c r="Q286" s="47"/>
      <c r="R286" s="40"/>
      <c r="S286" s="42"/>
      <c r="T286" s="41"/>
      <c r="U286" s="41"/>
      <c r="V286" s="48" t="s">
        <v>453</v>
      </c>
      <c r="W286" s="43"/>
      <c r="X286" s="44">
        <v>46191</v>
      </c>
      <c r="Y286" s="41" t="s">
        <v>454</v>
      </c>
      <c r="Z286" s="41"/>
      <c r="AA286" s="41"/>
      <c r="AB286" s="41" t="s">
        <v>937</v>
      </c>
      <c r="AC286" s="49"/>
      <c r="AD286" s="49">
        <v>1212</v>
      </c>
      <c r="AE286" s="50"/>
      <c r="AF286" s="51"/>
      <c r="AG286" s="51"/>
      <c r="AH286" s="52"/>
      <c r="AI286" s="52"/>
      <c r="AJ286" s="53"/>
      <c r="AK286" s="52"/>
      <c r="AL286" s="43">
        <v>18</v>
      </c>
      <c r="AM286" s="168" t="s">
        <v>938</v>
      </c>
      <c r="AN286" s="36"/>
      <c r="AO286" s="36"/>
      <c r="AP286" s="37"/>
    </row>
    <row r="287" spans="1:42" s="38" customFormat="1" ht="18.75" customHeight="1" x14ac:dyDescent="0.25">
      <c r="A287" s="44">
        <v>46191</v>
      </c>
      <c r="B287" s="40">
        <f t="shared" si="8"/>
        <v>46191</v>
      </c>
      <c r="C287" s="41" t="s">
        <v>85</v>
      </c>
      <c r="D287" s="45" t="s">
        <v>86</v>
      </c>
      <c r="E287" s="45">
        <v>31684</v>
      </c>
      <c r="F287" s="45">
        <v>1</v>
      </c>
      <c r="G287" s="191">
        <v>73772094</v>
      </c>
      <c r="H287" s="54" t="s">
        <v>322</v>
      </c>
      <c r="I287" s="42"/>
      <c r="J287" s="43"/>
      <c r="K287" s="43">
        <f t="shared" si="9"/>
        <v>250</v>
      </c>
      <c r="L287" s="43"/>
      <c r="M287" s="43"/>
      <c r="N287" s="43"/>
      <c r="O287" s="43"/>
      <c r="P287" s="46">
        <v>250</v>
      </c>
      <c r="Q287" s="47"/>
      <c r="R287" s="40"/>
      <c r="S287" s="42"/>
      <c r="T287" s="41"/>
      <c r="U287" s="41"/>
      <c r="V287" s="48" t="s">
        <v>453</v>
      </c>
      <c r="W287" s="43"/>
      <c r="X287" s="44">
        <v>46191</v>
      </c>
      <c r="Y287" s="41" t="s">
        <v>454</v>
      </c>
      <c r="Z287" s="41"/>
      <c r="AA287" s="41"/>
      <c r="AB287" s="41" t="s">
        <v>937</v>
      </c>
      <c r="AC287" s="49"/>
      <c r="AD287" s="49">
        <v>1212</v>
      </c>
      <c r="AE287" s="50"/>
      <c r="AF287" s="51"/>
      <c r="AG287" s="51"/>
      <c r="AH287" s="52"/>
      <c r="AI287" s="52"/>
      <c r="AJ287" s="53"/>
      <c r="AK287" s="52"/>
      <c r="AL287" s="43">
        <v>18</v>
      </c>
      <c r="AM287" s="168" t="s">
        <v>938</v>
      </c>
      <c r="AN287" s="36"/>
      <c r="AO287" s="36"/>
      <c r="AP287" s="37"/>
    </row>
    <row r="288" spans="1:42" s="38" customFormat="1" ht="18.75" customHeight="1" x14ac:dyDescent="0.25">
      <c r="A288" s="44">
        <v>46191</v>
      </c>
      <c r="B288" s="40">
        <f t="shared" si="8"/>
        <v>46191</v>
      </c>
      <c r="C288" s="41" t="s">
        <v>85</v>
      </c>
      <c r="D288" s="45" t="s">
        <v>86</v>
      </c>
      <c r="E288" s="45">
        <v>31685</v>
      </c>
      <c r="F288" s="45">
        <v>1</v>
      </c>
      <c r="G288" s="191">
        <v>44519289</v>
      </c>
      <c r="H288" s="54" t="s">
        <v>323</v>
      </c>
      <c r="I288" s="42"/>
      <c r="J288" s="43"/>
      <c r="K288" s="43">
        <f t="shared" si="9"/>
        <v>29</v>
      </c>
      <c r="L288" s="43"/>
      <c r="M288" s="43"/>
      <c r="N288" s="43"/>
      <c r="O288" s="43"/>
      <c r="P288" s="46">
        <v>29</v>
      </c>
      <c r="Q288" s="47"/>
      <c r="R288" s="40"/>
      <c r="S288" s="42"/>
      <c r="T288" s="41"/>
      <c r="U288" s="41"/>
      <c r="V288" s="48" t="s">
        <v>453</v>
      </c>
      <c r="W288" s="43"/>
      <c r="X288" s="44">
        <v>46191</v>
      </c>
      <c r="Y288" s="41" t="s">
        <v>454</v>
      </c>
      <c r="Z288" s="41"/>
      <c r="AA288" s="41"/>
      <c r="AB288" s="41" t="s">
        <v>937</v>
      </c>
      <c r="AC288" s="49"/>
      <c r="AD288" s="49">
        <v>1212</v>
      </c>
      <c r="AE288" s="50"/>
      <c r="AF288" s="51"/>
      <c r="AG288" s="51"/>
      <c r="AH288" s="52"/>
      <c r="AI288" s="52"/>
      <c r="AJ288" s="53"/>
      <c r="AK288" s="52"/>
      <c r="AL288" s="43">
        <v>18</v>
      </c>
      <c r="AM288" s="168" t="s">
        <v>938</v>
      </c>
      <c r="AN288" s="36"/>
      <c r="AO288" s="36"/>
      <c r="AP288" s="37"/>
    </row>
    <row r="289" spans="1:42" s="38" customFormat="1" ht="18.75" customHeight="1" x14ac:dyDescent="0.25">
      <c r="A289" s="44">
        <v>46191</v>
      </c>
      <c r="B289" s="40">
        <f t="shared" si="8"/>
        <v>46191</v>
      </c>
      <c r="C289" s="41" t="s">
        <v>85</v>
      </c>
      <c r="D289" s="45" t="s">
        <v>86</v>
      </c>
      <c r="E289" s="45">
        <v>31686</v>
      </c>
      <c r="F289" s="45">
        <v>1</v>
      </c>
      <c r="G289" s="191">
        <v>20103638</v>
      </c>
      <c r="H289" s="54" t="s">
        <v>324</v>
      </c>
      <c r="I289" s="42"/>
      <c r="J289" s="43"/>
      <c r="K289" s="43">
        <f t="shared" si="9"/>
        <v>30</v>
      </c>
      <c r="L289" s="43"/>
      <c r="M289" s="43"/>
      <c r="N289" s="43"/>
      <c r="O289" s="43"/>
      <c r="P289" s="46">
        <v>30</v>
      </c>
      <c r="Q289" s="47"/>
      <c r="R289" s="40"/>
      <c r="S289" s="42"/>
      <c r="T289" s="41"/>
      <c r="U289" s="41"/>
      <c r="V289" s="48" t="s">
        <v>453</v>
      </c>
      <c r="W289" s="43"/>
      <c r="X289" s="44">
        <v>46191</v>
      </c>
      <c r="Y289" s="41" t="s">
        <v>454</v>
      </c>
      <c r="Z289" s="41"/>
      <c r="AA289" s="41"/>
      <c r="AB289" s="41" t="s">
        <v>937</v>
      </c>
      <c r="AC289" s="49"/>
      <c r="AD289" s="49">
        <v>1212</v>
      </c>
      <c r="AE289" s="50"/>
      <c r="AF289" s="51"/>
      <c r="AG289" s="51"/>
      <c r="AH289" s="52"/>
      <c r="AI289" s="52"/>
      <c r="AJ289" s="53"/>
      <c r="AK289" s="52"/>
      <c r="AL289" s="43">
        <v>18</v>
      </c>
      <c r="AM289" s="168" t="s">
        <v>938</v>
      </c>
      <c r="AN289" s="36"/>
      <c r="AO289" s="36"/>
      <c r="AP289" s="37"/>
    </row>
    <row r="290" spans="1:42" s="38" customFormat="1" ht="18.75" customHeight="1" x14ac:dyDescent="0.25">
      <c r="A290" s="44">
        <v>46191</v>
      </c>
      <c r="B290" s="40">
        <f t="shared" si="8"/>
        <v>46191</v>
      </c>
      <c r="C290" s="41" t="s">
        <v>85</v>
      </c>
      <c r="D290" s="45" t="s">
        <v>86</v>
      </c>
      <c r="E290" s="45">
        <v>31687</v>
      </c>
      <c r="F290" s="45">
        <v>1</v>
      </c>
      <c r="G290" s="191">
        <v>70140104</v>
      </c>
      <c r="H290" s="54" t="s">
        <v>325</v>
      </c>
      <c r="I290" s="42"/>
      <c r="J290" s="43"/>
      <c r="K290" s="43">
        <f t="shared" si="9"/>
        <v>21.4</v>
      </c>
      <c r="L290" s="43"/>
      <c r="M290" s="43"/>
      <c r="N290" s="43"/>
      <c r="O290" s="43"/>
      <c r="P290" s="46">
        <v>21.4</v>
      </c>
      <c r="Q290" s="47"/>
      <c r="R290" s="40"/>
      <c r="S290" s="42"/>
      <c r="T290" s="41"/>
      <c r="U290" s="41"/>
      <c r="V290" s="48" t="s">
        <v>453</v>
      </c>
      <c r="W290" s="43"/>
      <c r="X290" s="44">
        <v>46191</v>
      </c>
      <c r="Y290" s="41" t="s">
        <v>454</v>
      </c>
      <c r="Z290" s="41"/>
      <c r="AA290" s="41"/>
      <c r="AB290" s="41" t="s">
        <v>937</v>
      </c>
      <c r="AC290" s="49"/>
      <c r="AD290" s="49">
        <v>1212</v>
      </c>
      <c r="AE290" s="50"/>
      <c r="AF290" s="51"/>
      <c r="AG290" s="51"/>
      <c r="AH290" s="52"/>
      <c r="AI290" s="52"/>
      <c r="AJ290" s="53"/>
      <c r="AK290" s="52"/>
      <c r="AL290" s="43">
        <v>18</v>
      </c>
      <c r="AM290" s="168" t="s">
        <v>938</v>
      </c>
      <c r="AN290" s="36"/>
      <c r="AO290" s="36"/>
      <c r="AP290" s="37"/>
    </row>
    <row r="291" spans="1:42" s="38" customFormat="1" ht="18.75" customHeight="1" x14ac:dyDescent="0.25">
      <c r="A291" s="44">
        <v>46191</v>
      </c>
      <c r="B291" s="40">
        <f t="shared" si="8"/>
        <v>46191</v>
      </c>
      <c r="C291" s="41" t="s">
        <v>85</v>
      </c>
      <c r="D291" s="45" t="s">
        <v>86</v>
      </c>
      <c r="E291" s="45">
        <v>31688</v>
      </c>
      <c r="F291" s="45">
        <v>1</v>
      </c>
      <c r="G291" s="191">
        <v>43865071</v>
      </c>
      <c r="H291" s="54" t="s">
        <v>326</v>
      </c>
      <c r="I291" s="42"/>
      <c r="J291" s="43"/>
      <c r="K291" s="43">
        <f t="shared" si="9"/>
        <v>70</v>
      </c>
      <c r="L291" s="43"/>
      <c r="M291" s="43"/>
      <c r="N291" s="43"/>
      <c r="O291" s="43"/>
      <c r="P291" s="46">
        <v>70</v>
      </c>
      <c r="Q291" s="47"/>
      <c r="R291" s="40"/>
      <c r="S291" s="42"/>
      <c r="T291" s="41"/>
      <c r="U291" s="41"/>
      <c r="V291" s="48" t="s">
        <v>453</v>
      </c>
      <c r="W291" s="43"/>
      <c r="X291" s="44">
        <v>46191</v>
      </c>
      <c r="Y291" s="41" t="s">
        <v>454</v>
      </c>
      <c r="Z291" s="41"/>
      <c r="AA291" s="41"/>
      <c r="AB291" s="41" t="s">
        <v>937</v>
      </c>
      <c r="AC291" s="49"/>
      <c r="AD291" s="49">
        <v>1212</v>
      </c>
      <c r="AE291" s="50"/>
      <c r="AF291" s="51"/>
      <c r="AG291" s="51"/>
      <c r="AH291" s="52"/>
      <c r="AI291" s="52"/>
      <c r="AJ291" s="53"/>
      <c r="AK291" s="52"/>
      <c r="AL291" s="43">
        <v>18</v>
      </c>
      <c r="AM291" s="168" t="s">
        <v>938</v>
      </c>
      <c r="AN291" s="36"/>
      <c r="AO291" s="36"/>
      <c r="AP291" s="37"/>
    </row>
    <row r="292" spans="1:42" s="38" customFormat="1" ht="18.75" customHeight="1" x14ac:dyDescent="0.25">
      <c r="A292" s="44">
        <v>46191</v>
      </c>
      <c r="B292" s="40">
        <f t="shared" si="8"/>
        <v>46191</v>
      </c>
      <c r="C292" s="41" t="s">
        <v>85</v>
      </c>
      <c r="D292" s="45" t="s">
        <v>86</v>
      </c>
      <c r="E292" s="45">
        <v>31689</v>
      </c>
      <c r="F292" s="45">
        <v>1</v>
      </c>
      <c r="G292" s="191">
        <v>70019439</v>
      </c>
      <c r="H292" s="54" t="s">
        <v>327</v>
      </c>
      <c r="I292" s="42"/>
      <c r="J292" s="43"/>
      <c r="K292" s="43">
        <f t="shared" si="9"/>
        <v>28</v>
      </c>
      <c r="L292" s="43"/>
      <c r="M292" s="43"/>
      <c r="N292" s="43"/>
      <c r="O292" s="43"/>
      <c r="P292" s="46">
        <v>28</v>
      </c>
      <c r="Q292" s="47"/>
      <c r="R292" s="40"/>
      <c r="S292" s="42"/>
      <c r="T292" s="41"/>
      <c r="U292" s="41"/>
      <c r="V292" s="48" t="s">
        <v>453</v>
      </c>
      <c r="W292" s="43"/>
      <c r="X292" s="44">
        <v>46191</v>
      </c>
      <c r="Y292" s="41" t="s">
        <v>454</v>
      </c>
      <c r="Z292" s="41"/>
      <c r="AA292" s="41"/>
      <c r="AB292" s="41" t="s">
        <v>937</v>
      </c>
      <c r="AC292" s="49"/>
      <c r="AD292" s="49">
        <v>1212</v>
      </c>
      <c r="AE292" s="50"/>
      <c r="AF292" s="51"/>
      <c r="AG292" s="51"/>
      <c r="AH292" s="52"/>
      <c r="AI292" s="52"/>
      <c r="AJ292" s="53"/>
      <c r="AK292" s="52"/>
      <c r="AL292" s="43">
        <v>18</v>
      </c>
      <c r="AM292" s="168" t="s">
        <v>938</v>
      </c>
      <c r="AN292" s="36"/>
      <c r="AO292" s="36"/>
      <c r="AP292" s="37"/>
    </row>
    <row r="293" spans="1:42" s="38" customFormat="1" ht="18.75" customHeight="1" x14ac:dyDescent="0.25">
      <c r="A293" s="44">
        <v>46191</v>
      </c>
      <c r="B293" s="40">
        <f t="shared" si="8"/>
        <v>46191</v>
      </c>
      <c r="C293" s="41" t="s">
        <v>85</v>
      </c>
      <c r="D293" s="45" t="s">
        <v>86</v>
      </c>
      <c r="E293" s="45">
        <v>31690</v>
      </c>
      <c r="F293" s="45">
        <v>1</v>
      </c>
      <c r="G293" s="191">
        <v>40816816</v>
      </c>
      <c r="H293" s="54" t="s">
        <v>239</v>
      </c>
      <c r="I293" s="42"/>
      <c r="J293" s="43"/>
      <c r="K293" s="43">
        <f t="shared" si="9"/>
        <v>50</v>
      </c>
      <c r="L293" s="43"/>
      <c r="M293" s="43"/>
      <c r="N293" s="43"/>
      <c r="O293" s="43"/>
      <c r="P293" s="46">
        <v>50</v>
      </c>
      <c r="Q293" s="47"/>
      <c r="R293" s="40"/>
      <c r="S293" s="42"/>
      <c r="T293" s="41"/>
      <c r="U293" s="41"/>
      <c r="V293" s="48" t="s">
        <v>453</v>
      </c>
      <c r="W293" s="43"/>
      <c r="X293" s="44">
        <v>46191</v>
      </c>
      <c r="Y293" s="41" t="s">
        <v>454</v>
      </c>
      <c r="Z293" s="41"/>
      <c r="AA293" s="41"/>
      <c r="AB293" s="41" t="s">
        <v>937</v>
      </c>
      <c r="AC293" s="49"/>
      <c r="AD293" s="49">
        <v>1212</v>
      </c>
      <c r="AE293" s="50"/>
      <c r="AF293" s="51"/>
      <c r="AG293" s="51"/>
      <c r="AH293" s="52"/>
      <c r="AI293" s="52"/>
      <c r="AJ293" s="53"/>
      <c r="AK293" s="52"/>
      <c r="AL293" s="43">
        <v>18</v>
      </c>
      <c r="AM293" s="168" t="s">
        <v>938</v>
      </c>
      <c r="AN293" s="36"/>
      <c r="AO293" s="36"/>
      <c r="AP293" s="37"/>
    </row>
    <row r="294" spans="1:42" s="38" customFormat="1" ht="18.75" customHeight="1" x14ac:dyDescent="0.25">
      <c r="A294" s="44">
        <v>46192</v>
      </c>
      <c r="B294" s="40">
        <f t="shared" si="8"/>
        <v>46192</v>
      </c>
      <c r="C294" s="41" t="s">
        <v>85</v>
      </c>
      <c r="D294" s="45" t="s">
        <v>86</v>
      </c>
      <c r="E294" s="45">
        <v>31691</v>
      </c>
      <c r="F294" s="45">
        <v>1</v>
      </c>
      <c r="G294" s="191">
        <v>72423180</v>
      </c>
      <c r="H294" s="54" t="s">
        <v>328</v>
      </c>
      <c r="I294" s="42"/>
      <c r="J294" s="43"/>
      <c r="K294" s="43">
        <f t="shared" si="9"/>
        <v>193</v>
      </c>
      <c r="L294" s="43"/>
      <c r="M294" s="43"/>
      <c r="N294" s="43"/>
      <c r="O294" s="43"/>
      <c r="P294" s="46">
        <v>193</v>
      </c>
      <c r="Q294" s="47"/>
      <c r="R294" s="40"/>
      <c r="S294" s="42"/>
      <c r="T294" s="41"/>
      <c r="U294" s="41"/>
      <c r="V294" s="48" t="s">
        <v>453</v>
      </c>
      <c r="W294" s="43"/>
      <c r="X294" s="44">
        <v>46192</v>
      </c>
      <c r="Y294" s="41" t="s">
        <v>454</v>
      </c>
      <c r="Z294" s="41"/>
      <c r="AA294" s="41"/>
      <c r="AB294" s="41" t="s">
        <v>937</v>
      </c>
      <c r="AC294" s="49"/>
      <c r="AD294" s="49">
        <v>1212</v>
      </c>
      <c r="AE294" s="50"/>
      <c r="AF294" s="51"/>
      <c r="AG294" s="51"/>
      <c r="AH294" s="52"/>
      <c r="AI294" s="52"/>
      <c r="AJ294" s="53"/>
      <c r="AK294" s="52"/>
      <c r="AL294" s="43">
        <v>18</v>
      </c>
      <c r="AM294" s="168" t="s">
        <v>938</v>
      </c>
      <c r="AN294" s="36"/>
      <c r="AO294" s="36"/>
      <c r="AP294" s="37"/>
    </row>
    <row r="295" spans="1:42" s="38" customFormat="1" ht="18.75" customHeight="1" x14ac:dyDescent="0.25">
      <c r="A295" s="44">
        <v>46192</v>
      </c>
      <c r="B295" s="40">
        <f t="shared" si="8"/>
        <v>46192</v>
      </c>
      <c r="C295" s="41" t="s">
        <v>85</v>
      </c>
      <c r="D295" s="45" t="s">
        <v>86</v>
      </c>
      <c r="E295" s="45">
        <v>31692</v>
      </c>
      <c r="F295" s="45">
        <v>1</v>
      </c>
      <c r="G295" s="191">
        <v>71780987</v>
      </c>
      <c r="H295" s="54" t="s">
        <v>329</v>
      </c>
      <c r="I295" s="42"/>
      <c r="J295" s="43"/>
      <c r="K295" s="43">
        <f t="shared" si="9"/>
        <v>25</v>
      </c>
      <c r="L295" s="43"/>
      <c r="M295" s="43"/>
      <c r="N295" s="43"/>
      <c r="O295" s="43"/>
      <c r="P295" s="46">
        <v>25</v>
      </c>
      <c r="Q295" s="47"/>
      <c r="R295" s="40"/>
      <c r="S295" s="42"/>
      <c r="T295" s="41"/>
      <c r="U295" s="41"/>
      <c r="V295" s="48" t="s">
        <v>453</v>
      </c>
      <c r="W295" s="43"/>
      <c r="X295" s="44">
        <v>46192</v>
      </c>
      <c r="Y295" s="41" t="s">
        <v>454</v>
      </c>
      <c r="Z295" s="41"/>
      <c r="AA295" s="41"/>
      <c r="AB295" s="41" t="s">
        <v>937</v>
      </c>
      <c r="AC295" s="49"/>
      <c r="AD295" s="49">
        <v>1212</v>
      </c>
      <c r="AE295" s="50"/>
      <c r="AF295" s="51"/>
      <c r="AG295" s="51"/>
      <c r="AH295" s="52"/>
      <c r="AI295" s="52"/>
      <c r="AJ295" s="53"/>
      <c r="AK295" s="52"/>
      <c r="AL295" s="43">
        <v>18</v>
      </c>
      <c r="AM295" s="168" t="s">
        <v>938</v>
      </c>
      <c r="AN295" s="36"/>
      <c r="AO295" s="36"/>
      <c r="AP295" s="37"/>
    </row>
    <row r="296" spans="1:42" s="38" customFormat="1" ht="18.75" customHeight="1" x14ac:dyDescent="0.25">
      <c r="A296" s="44">
        <v>46192</v>
      </c>
      <c r="B296" s="40">
        <f t="shared" si="8"/>
        <v>46192</v>
      </c>
      <c r="C296" s="41" t="s">
        <v>85</v>
      </c>
      <c r="D296" s="45" t="s">
        <v>86</v>
      </c>
      <c r="E296" s="45">
        <v>31693</v>
      </c>
      <c r="F296" s="45">
        <v>1</v>
      </c>
      <c r="G296" s="191">
        <v>40959946</v>
      </c>
      <c r="H296" s="54" t="s">
        <v>330</v>
      </c>
      <c r="I296" s="42"/>
      <c r="J296" s="43"/>
      <c r="K296" s="43">
        <f t="shared" si="9"/>
        <v>50</v>
      </c>
      <c r="L296" s="43"/>
      <c r="M296" s="43"/>
      <c r="N296" s="43"/>
      <c r="O296" s="43"/>
      <c r="P296" s="46">
        <v>50</v>
      </c>
      <c r="Q296" s="47"/>
      <c r="R296" s="40"/>
      <c r="S296" s="42"/>
      <c r="T296" s="41"/>
      <c r="U296" s="41"/>
      <c r="V296" s="48" t="s">
        <v>453</v>
      </c>
      <c r="W296" s="43"/>
      <c r="X296" s="44">
        <v>46192</v>
      </c>
      <c r="Y296" s="41" t="s">
        <v>454</v>
      </c>
      <c r="Z296" s="41"/>
      <c r="AA296" s="41"/>
      <c r="AB296" s="41" t="s">
        <v>937</v>
      </c>
      <c r="AC296" s="49"/>
      <c r="AD296" s="49">
        <v>1212</v>
      </c>
      <c r="AE296" s="50"/>
      <c r="AF296" s="51"/>
      <c r="AG296" s="51"/>
      <c r="AH296" s="52"/>
      <c r="AI296" s="52"/>
      <c r="AJ296" s="53"/>
      <c r="AK296" s="52"/>
      <c r="AL296" s="43">
        <v>18</v>
      </c>
      <c r="AM296" s="168" t="s">
        <v>938</v>
      </c>
      <c r="AN296" s="36"/>
      <c r="AO296" s="36"/>
      <c r="AP296" s="37"/>
    </row>
    <row r="297" spans="1:42" s="38" customFormat="1" ht="18.75" customHeight="1" x14ac:dyDescent="0.25">
      <c r="A297" s="44">
        <v>46192</v>
      </c>
      <c r="B297" s="40">
        <f t="shared" si="8"/>
        <v>46192</v>
      </c>
      <c r="C297" s="41" t="s">
        <v>85</v>
      </c>
      <c r="D297" s="45" t="s">
        <v>86</v>
      </c>
      <c r="E297" s="45">
        <v>31694</v>
      </c>
      <c r="F297" s="45">
        <v>1</v>
      </c>
      <c r="G297" s="191">
        <v>44527371</v>
      </c>
      <c r="H297" s="54" t="s">
        <v>331</v>
      </c>
      <c r="I297" s="42"/>
      <c r="J297" s="43"/>
      <c r="K297" s="43">
        <f t="shared" si="9"/>
        <v>78</v>
      </c>
      <c r="L297" s="43"/>
      <c r="M297" s="43"/>
      <c r="N297" s="43"/>
      <c r="O297" s="43"/>
      <c r="P297" s="46">
        <v>78</v>
      </c>
      <c r="Q297" s="47"/>
      <c r="R297" s="40"/>
      <c r="S297" s="42"/>
      <c r="T297" s="41"/>
      <c r="U297" s="41"/>
      <c r="V297" s="48" t="s">
        <v>453</v>
      </c>
      <c r="W297" s="43"/>
      <c r="X297" s="44">
        <v>46192</v>
      </c>
      <c r="Y297" s="41" t="s">
        <v>454</v>
      </c>
      <c r="Z297" s="41"/>
      <c r="AA297" s="41"/>
      <c r="AB297" s="41" t="s">
        <v>937</v>
      </c>
      <c r="AC297" s="49"/>
      <c r="AD297" s="49">
        <v>1212</v>
      </c>
      <c r="AE297" s="50"/>
      <c r="AF297" s="51"/>
      <c r="AG297" s="51"/>
      <c r="AH297" s="52"/>
      <c r="AI297" s="52"/>
      <c r="AJ297" s="53"/>
      <c r="AK297" s="52"/>
      <c r="AL297" s="43">
        <v>18</v>
      </c>
      <c r="AM297" s="168" t="s">
        <v>938</v>
      </c>
      <c r="AN297" s="36"/>
      <c r="AO297" s="36"/>
      <c r="AP297" s="37"/>
    </row>
    <row r="298" spans="1:42" s="38" customFormat="1" ht="18.75" customHeight="1" x14ac:dyDescent="0.25">
      <c r="A298" s="44">
        <v>46192</v>
      </c>
      <c r="B298" s="40">
        <f t="shared" si="8"/>
        <v>46192</v>
      </c>
      <c r="C298" s="41" t="s">
        <v>85</v>
      </c>
      <c r="D298" s="45" t="s">
        <v>86</v>
      </c>
      <c r="E298" s="45">
        <v>31695</v>
      </c>
      <c r="F298" s="45">
        <v>1</v>
      </c>
      <c r="G298" s="191">
        <v>40762514</v>
      </c>
      <c r="H298" s="54" t="s">
        <v>332</v>
      </c>
      <c r="I298" s="42"/>
      <c r="J298" s="43"/>
      <c r="K298" s="43">
        <f t="shared" si="9"/>
        <v>50</v>
      </c>
      <c r="L298" s="43"/>
      <c r="M298" s="43"/>
      <c r="N298" s="43"/>
      <c r="O298" s="43"/>
      <c r="P298" s="46">
        <v>50</v>
      </c>
      <c r="Q298" s="47"/>
      <c r="R298" s="40"/>
      <c r="S298" s="42"/>
      <c r="T298" s="41"/>
      <c r="U298" s="41"/>
      <c r="V298" s="48" t="s">
        <v>453</v>
      </c>
      <c r="W298" s="43"/>
      <c r="X298" s="44">
        <v>46192</v>
      </c>
      <c r="Y298" s="41" t="s">
        <v>454</v>
      </c>
      <c r="Z298" s="41"/>
      <c r="AA298" s="41"/>
      <c r="AB298" s="41" t="s">
        <v>937</v>
      </c>
      <c r="AC298" s="49"/>
      <c r="AD298" s="49">
        <v>1212</v>
      </c>
      <c r="AE298" s="50"/>
      <c r="AF298" s="51"/>
      <c r="AG298" s="51"/>
      <c r="AH298" s="52"/>
      <c r="AI298" s="52"/>
      <c r="AJ298" s="53"/>
      <c r="AK298" s="52"/>
      <c r="AL298" s="43">
        <v>18</v>
      </c>
      <c r="AM298" s="168" t="s">
        <v>938</v>
      </c>
      <c r="AN298" s="36"/>
      <c r="AO298" s="36"/>
      <c r="AP298" s="37"/>
    </row>
    <row r="299" spans="1:42" s="38" customFormat="1" ht="18.75" customHeight="1" x14ac:dyDescent="0.25">
      <c r="A299" s="44">
        <v>46192</v>
      </c>
      <c r="B299" s="40">
        <f t="shared" si="8"/>
        <v>46192</v>
      </c>
      <c r="C299" s="41" t="s">
        <v>85</v>
      </c>
      <c r="D299" s="45" t="s">
        <v>86</v>
      </c>
      <c r="E299" s="45">
        <v>31696</v>
      </c>
      <c r="F299" s="45">
        <v>1</v>
      </c>
      <c r="G299" s="191">
        <v>20072381</v>
      </c>
      <c r="H299" s="54" t="s">
        <v>333</v>
      </c>
      <c r="I299" s="42"/>
      <c r="J299" s="43"/>
      <c r="K299" s="43">
        <f t="shared" si="9"/>
        <v>25</v>
      </c>
      <c r="L299" s="43"/>
      <c r="M299" s="43"/>
      <c r="N299" s="43"/>
      <c r="O299" s="43"/>
      <c r="P299" s="46">
        <v>25</v>
      </c>
      <c r="Q299" s="47"/>
      <c r="R299" s="40"/>
      <c r="S299" s="42"/>
      <c r="T299" s="41"/>
      <c r="U299" s="41"/>
      <c r="V299" s="48" t="s">
        <v>453</v>
      </c>
      <c r="W299" s="43"/>
      <c r="X299" s="44">
        <v>46192</v>
      </c>
      <c r="Y299" s="41" t="s">
        <v>454</v>
      </c>
      <c r="Z299" s="41"/>
      <c r="AA299" s="41"/>
      <c r="AB299" s="41" t="s">
        <v>937</v>
      </c>
      <c r="AC299" s="49"/>
      <c r="AD299" s="49">
        <v>1212</v>
      </c>
      <c r="AE299" s="50"/>
      <c r="AF299" s="51"/>
      <c r="AG299" s="51"/>
      <c r="AH299" s="52"/>
      <c r="AI299" s="52"/>
      <c r="AJ299" s="53"/>
      <c r="AK299" s="52"/>
      <c r="AL299" s="43">
        <v>18</v>
      </c>
      <c r="AM299" s="168" t="s">
        <v>938</v>
      </c>
      <c r="AN299" s="36"/>
      <c r="AO299" s="36"/>
      <c r="AP299" s="37"/>
    </row>
    <row r="300" spans="1:42" s="38" customFormat="1" ht="18.75" customHeight="1" x14ac:dyDescent="0.25">
      <c r="A300" s="44">
        <v>46192</v>
      </c>
      <c r="B300" s="40">
        <f t="shared" si="8"/>
        <v>46192</v>
      </c>
      <c r="C300" s="41" t="s">
        <v>85</v>
      </c>
      <c r="D300" s="45" t="s">
        <v>86</v>
      </c>
      <c r="E300" s="45">
        <v>31697</v>
      </c>
      <c r="F300" s="45">
        <v>1</v>
      </c>
      <c r="G300" s="191">
        <v>40367218</v>
      </c>
      <c r="H300" s="54" t="s">
        <v>334</v>
      </c>
      <c r="I300" s="42"/>
      <c r="J300" s="43"/>
      <c r="K300" s="43">
        <f t="shared" si="9"/>
        <v>100</v>
      </c>
      <c r="L300" s="43"/>
      <c r="M300" s="43"/>
      <c r="N300" s="43"/>
      <c r="O300" s="43"/>
      <c r="P300" s="46">
        <v>100</v>
      </c>
      <c r="Q300" s="47"/>
      <c r="R300" s="40"/>
      <c r="S300" s="42"/>
      <c r="T300" s="41"/>
      <c r="U300" s="41"/>
      <c r="V300" s="48" t="s">
        <v>453</v>
      </c>
      <c r="W300" s="43"/>
      <c r="X300" s="44">
        <v>46192</v>
      </c>
      <c r="Y300" s="41" t="s">
        <v>454</v>
      </c>
      <c r="Z300" s="41"/>
      <c r="AA300" s="41"/>
      <c r="AB300" s="41" t="s">
        <v>937</v>
      </c>
      <c r="AC300" s="49"/>
      <c r="AD300" s="49">
        <v>1212</v>
      </c>
      <c r="AE300" s="50"/>
      <c r="AF300" s="51"/>
      <c r="AG300" s="51"/>
      <c r="AH300" s="52"/>
      <c r="AI300" s="52"/>
      <c r="AJ300" s="53"/>
      <c r="AK300" s="52"/>
      <c r="AL300" s="43">
        <v>18</v>
      </c>
      <c r="AM300" s="168" t="s">
        <v>938</v>
      </c>
      <c r="AN300" s="36"/>
      <c r="AO300" s="36"/>
      <c r="AP300" s="37"/>
    </row>
    <row r="301" spans="1:42" s="38" customFormat="1" ht="18.75" customHeight="1" x14ac:dyDescent="0.25">
      <c r="A301" s="44">
        <v>46192</v>
      </c>
      <c r="B301" s="40">
        <f t="shared" si="8"/>
        <v>46192</v>
      </c>
      <c r="C301" s="41" t="s">
        <v>85</v>
      </c>
      <c r="D301" s="45" t="s">
        <v>86</v>
      </c>
      <c r="E301" s="45">
        <v>31698</v>
      </c>
      <c r="F301" s="45">
        <v>1</v>
      </c>
      <c r="G301" s="191">
        <v>23256797</v>
      </c>
      <c r="H301" s="54" t="s">
        <v>335</v>
      </c>
      <c r="I301" s="42"/>
      <c r="J301" s="43"/>
      <c r="K301" s="43">
        <f t="shared" si="9"/>
        <v>35</v>
      </c>
      <c r="L301" s="43"/>
      <c r="M301" s="43"/>
      <c r="N301" s="43"/>
      <c r="O301" s="43"/>
      <c r="P301" s="46">
        <v>35</v>
      </c>
      <c r="Q301" s="47"/>
      <c r="R301" s="40"/>
      <c r="S301" s="42"/>
      <c r="T301" s="41"/>
      <c r="U301" s="41"/>
      <c r="V301" s="48" t="s">
        <v>453</v>
      </c>
      <c r="W301" s="43"/>
      <c r="X301" s="44">
        <v>46192</v>
      </c>
      <c r="Y301" s="41" t="s">
        <v>454</v>
      </c>
      <c r="Z301" s="41"/>
      <c r="AA301" s="41"/>
      <c r="AB301" s="41" t="s">
        <v>937</v>
      </c>
      <c r="AC301" s="49"/>
      <c r="AD301" s="49">
        <v>1212</v>
      </c>
      <c r="AE301" s="50"/>
      <c r="AF301" s="51"/>
      <c r="AG301" s="51"/>
      <c r="AH301" s="52"/>
      <c r="AI301" s="52"/>
      <c r="AJ301" s="53"/>
      <c r="AK301" s="52"/>
      <c r="AL301" s="43">
        <v>18</v>
      </c>
      <c r="AM301" s="168" t="s">
        <v>938</v>
      </c>
      <c r="AN301" s="36"/>
      <c r="AO301" s="36"/>
      <c r="AP301" s="37"/>
    </row>
    <row r="302" spans="1:42" s="38" customFormat="1" ht="18.75" customHeight="1" x14ac:dyDescent="0.25">
      <c r="A302" s="44">
        <v>46192</v>
      </c>
      <c r="B302" s="40">
        <f t="shared" si="8"/>
        <v>46192</v>
      </c>
      <c r="C302" s="41" t="s">
        <v>85</v>
      </c>
      <c r="D302" s="45" t="s">
        <v>86</v>
      </c>
      <c r="E302" s="45">
        <v>31699</v>
      </c>
      <c r="F302" s="45">
        <v>1</v>
      </c>
      <c r="G302" s="191">
        <v>44263354</v>
      </c>
      <c r="H302" s="54" t="s">
        <v>336</v>
      </c>
      <c r="I302" s="42"/>
      <c r="J302" s="43"/>
      <c r="K302" s="43">
        <f t="shared" si="9"/>
        <v>45</v>
      </c>
      <c r="L302" s="43"/>
      <c r="M302" s="43"/>
      <c r="N302" s="43"/>
      <c r="O302" s="43"/>
      <c r="P302" s="46">
        <v>45</v>
      </c>
      <c r="Q302" s="47"/>
      <c r="R302" s="40"/>
      <c r="S302" s="42"/>
      <c r="T302" s="41"/>
      <c r="U302" s="41"/>
      <c r="V302" s="48" t="s">
        <v>453</v>
      </c>
      <c r="W302" s="43"/>
      <c r="X302" s="44">
        <v>46192</v>
      </c>
      <c r="Y302" s="41" t="s">
        <v>454</v>
      </c>
      <c r="Z302" s="41"/>
      <c r="AA302" s="41"/>
      <c r="AB302" s="41" t="s">
        <v>937</v>
      </c>
      <c r="AC302" s="49"/>
      <c r="AD302" s="49">
        <v>1212</v>
      </c>
      <c r="AE302" s="50"/>
      <c r="AF302" s="51"/>
      <c r="AG302" s="51"/>
      <c r="AH302" s="52"/>
      <c r="AI302" s="52"/>
      <c r="AJ302" s="53"/>
      <c r="AK302" s="52"/>
      <c r="AL302" s="43">
        <v>18</v>
      </c>
      <c r="AM302" s="168" t="s">
        <v>938</v>
      </c>
      <c r="AN302" s="36"/>
      <c r="AO302" s="36"/>
      <c r="AP302" s="37"/>
    </row>
    <row r="303" spans="1:42" s="38" customFormat="1" ht="18.75" customHeight="1" x14ac:dyDescent="0.25">
      <c r="A303" s="44">
        <v>46192</v>
      </c>
      <c r="B303" s="40">
        <f t="shared" si="8"/>
        <v>46192</v>
      </c>
      <c r="C303" s="41" t="s">
        <v>85</v>
      </c>
      <c r="D303" s="45" t="s">
        <v>86</v>
      </c>
      <c r="E303" s="45">
        <v>31700</v>
      </c>
      <c r="F303" s="45">
        <v>1</v>
      </c>
      <c r="G303" s="191">
        <v>80008255</v>
      </c>
      <c r="H303" s="54" t="s">
        <v>337</v>
      </c>
      <c r="I303" s="42"/>
      <c r="J303" s="43"/>
      <c r="K303" s="43">
        <f t="shared" si="9"/>
        <v>63.5</v>
      </c>
      <c r="L303" s="43"/>
      <c r="M303" s="43"/>
      <c r="N303" s="43"/>
      <c r="O303" s="43"/>
      <c r="P303" s="46">
        <v>63.5</v>
      </c>
      <c r="Q303" s="47"/>
      <c r="R303" s="40"/>
      <c r="S303" s="42"/>
      <c r="T303" s="41"/>
      <c r="U303" s="41"/>
      <c r="V303" s="48" t="s">
        <v>453</v>
      </c>
      <c r="W303" s="43"/>
      <c r="X303" s="44">
        <v>46192</v>
      </c>
      <c r="Y303" s="41" t="s">
        <v>454</v>
      </c>
      <c r="Z303" s="41"/>
      <c r="AA303" s="41"/>
      <c r="AB303" s="41" t="s">
        <v>937</v>
      </c>
      <c r="AC303" s="49"/>
      <c r="AD303" s="49">
        <v>1212</v>
      </c>
      <c r="AE303" s="50"/>
      <c r="AF303" s="51"/>
      <c r="AG303" s="51"/>
      <c r="AH303" s="52"/>
      <c r="AI303" s="52"/>
      <c r="AJ303" s="53"/>
      <c r="AK303" s="52"/>
      <c r="AL303" s="43">
        <v>18</v>
      </c>
      <c r="AM303" s="168" t="s">
        <v>938</v>
      </c>
      <c r="AN303" s="36"/>
      <c r="AO303" s="36"/>
      <c r="AP303" s="37"/>
    </row>
    <row r="304" spans="1:42" s="38" customFormat="1" ht="18.75" customHeight="1" x14ac:dyDescent="0.25">
      <c r="A304" s="44">
        <v>46193</v>
      </c>
      <c r="B304" s="40">
        <f t="shared" si="8"/>
        <v>46193</v>
      </c>
      <c r="C304" s="41" t="s">
        <v>85</v>
      </c>
      <c r="D304" s="45" t="s">
        <v>86</v>
      </c>
      <c r="E304" s="45">
        <v>31701</v>
      </c>
      <c r="F304" s="45">
        <v>1</v>
      </c>
      <c r="G304" s="191">
        <v>46459977</v>
      </c>
      <c r="H304" s="54" t="s">
        <v>338</v>
      </c>
      <c r="I304" s="42"/>
      <c r="J304" s="43"/>
      <c r="K304" s="43">
        <f t="shared" si="9"/>
        <v>17.5</v>
      </c>
      <c r="L304" s="43"/>
      <c r="M304" s="43"/>
      <c r="N304" s="43"/>
      <c r="O304" s="43"/>
      <c r="P304" s="46">
        <v>17.5</v>
      </c>
      <c r="Q304" s="47"/>
      <c r="R304" s="40"/>
      <c r="S304" s="42"/>
      <c r="T304" s="41"/>
      <c r="U304" s="41"/>
      <c r="V304" s="48" t="s">
        <v>453</v>
      </c>
      <c r="W304" s="43"/>
      <c r="X304" s="44">
        <v>46193</v>
      </c>
      <c r="Y304" s="41" t="s">
        <v>454</v>
      </c>
      <c r="Z304" s="41"/>
      <c r="AA304" s="41"/>
      <c r="AB304" s="41" t="s">
        <v>937</v>
      </c>
      <c r="AC304" s="49"/>
      <c r="AD304" s="49">
        <v>1212</v>
      </c>
      <c r="AE304" s="50"/>
      <c r="AF304" s="51"/>
      <c r="AG304" s="51"/>
      <c r="AH304" s="52"/>
      <c r="AI304" s="52"/>
      <c r="AJ304" s="53"/>
      <c r="AK304" s="52"/>
      <c r="AL304" s="43">
        <v>18</v>
      </c>
      <c r="AM304" s="168" t="s">
        <v>938</v>
      </c>
      <c r="AN304" s="36"/>
      <c r="AO304" s="36"/>
      <c r="AP304" s="37"/>
    </row>
    <row r="305" spans="1:42" s="38" customFormat="1" ht="18.75" customHeight="1" x14ac:dyDescent="0.25">
      <c r="A305" s="44">
        <v>46193</v>
      </c>
      <c r="B305" s="40">
        <f t="shared" si="8"/>
        <v>46193</v>
      </c>
      <c r="C305" s="41" t="s">
        <v>85</v>
      </c>
      <c r="D305" s="45" t="s">
        <v>86</v>
      </c>
      <c r="E305" s="45">
        <v>31702</v>
      </c>
      <c r="F305" s="45">
        <v>1</v>
      </c>
      <c r="G305" s="191">
        <v>45317038</v>
      </c>
      <c r="H305" s="54" t="s">
        <v>339</v>
      </c>
      <c r="I305" s="42"/>
      <c r="J305" s="43"/>
      <c r="K305" s="43">
        <f t="shared" si="9"/>
        <v>17.5</v>
      </c>
      <c r="L305" s="43"/>
      <c r="M305" s="43"/>
      <c r="N305" s="43"/>
      <c r="O305" s="43"/>
      <c r="P305" s="46">
        <v>17.5</v>
      </c>
      <c r="Q305" s="47"/>
      <c r="R305" s="40"/>
      <c r="S305" s="42"/>
      <c r="T305" s="41"/>
      <c r="U305" s="41"/>
      <c r="V305" s="48" t="s">
        <v>453</v>
      </c>
      <c r="W305" s="43"/>
      <c r="X305" s="44">
        <v>46193</v>
      </c>
      <c r="Y305" s="41" t="s">
        <v>454</v>
      </c>
      <c r="Z305" s="41"/>
      <c r="AA305" s="41"/>
      <c r="AB305" s="41" t="s">
        <v>937</v>
      </c>
      <c r="AC305" s="49"/>
      <c r="AD305" s="49">
        <v>1212</v>
      </c>
      <c r="AE305" s="50"/>
      <c r="AF305" s="51"/>
      <c r="AG305" s="51"/>
      <c r="AH305" s="52"/>
      <c r="AI305" s="52"/>
      <c r="AJ305" s="53"/>
      <c r="AK305" s="52"/>
      <c r="AL305" s="43">
        <v>18</v>
      </c>
      <c r="AM305" s="168" t="s">
        <v>938</v>
      </c>
      <c r="AN305" s="36"/>
      <c r="AO305" s="36"/>
      <c r="AP305" s="37"/>
    </row>
    <row r="306" spans="1:42" s="38" customFormat="1" ht="18.75" customHeight="1" x14ac:dyDescent="0.25">
      <c r="A306" s="44">
        <v>46193</v>
      </c>
      <c r="B306" s="40">
        <f t="shared" si="8"/>
        <v>46193</v>
      </c>
      <c r="C306" s="41" t="s">
        <v>85</v>
      </c>
      <c r="D306" s="45" t="s">
        <v>86</v>
      </c>
      <c r="E306" s="45">
        <v>31703</v>
      </c>
      <c r="F306" s="45">
        <v>1</v>
      </c>
      <c r="G306" s="191">
        <v>73806047</v>
      </c>
      <c r="H306" s="54" t="s">
        <v>340</v>
      </c>
      <c r="I306" s="42"/>
      <c r="J306" s="43"/>
      <c r="K306" s="43">
        <f t="shared" si="9"/>
        <v>95</v>
      </c>
      <c r="L306" s="43"/>
      <c r="M306" s="43"/>
      <c r="N306" s="43"/>
      <c r="O306" s="43"/>
      <c r="P306" s="46">
        <v>95</v>
      </c>
      <c r="Q306" s="47"/>
      <c r="R306" s="40"/>
      <c r="S306" s="42"/>
      <c r="T306" s="41"/>
      <c r="U306" s="41"/>
      <c r="V306" s="48" t="s">
        <v>453</v>
      </c>
      <c r="W306" s="43"/>
      <c r="X306" s="44">
        <v>46193</v>
      </c>
      <c r="Y306" s="41" t="s">
        <v>454</v>
      </c>
      <c r="Z306" s="41"/>
      <c r="AA306" s="41"/>
      <c r="AB306" s="41" t="s">
        <v>937</v>
      </c>
      <c r="AC306" s="49"/>
      <c r="AD306" s="49">
        <v>1212</v>
      </c>
      <c r="AE306" s="50"/>
      <c r="AF306" s="51"/>
      <c r="AG306" s="51"/>
      <c r="AH306" s="52"/>
      <c r="AI306" s="52"/>
      <c r="AJ306" s="53"/>
      <c r="AK306" s="52"/>
      <c r="AL306" s="43">
        <v>18</v>
      </c>
      <c r="AM306" s="168" t="s">
        <v>938</v>
      </c>
      <c r="AN306" s="36"/>
      <c r="AO306" s="36"/>
      <c r="AP306" s="37"/>
    </row>
    <row r="307" spans="1:42" s="38" customFormat="1" ht="18.75" customHeight="1" x14ac:dyDescent="0.25">
      <c r="A307" s="44">
        <v>46193</v>
      </c>
      <c r="B307" s="40">
        <f t="shared" si="8"/>
        <v>46193</v>
      </c>
      <c r="C307" s="41" t="s">
        <v>85</v>
      </c>
      <c r="D307" s="45" t="s">
        <v>86</v>
      </c>
      <c r="E307" s="45">
        <v>31704</v>
      </c>
      <c r="F307" s="45">
        <v>6</v>
      </c>
      <c r="G307" s="191">
        <v>20518164717</v>
      </c>
      <c r="H307" s="54" t="s">
        <v>118</v>
      </c>
      <c r="I307" s="42"/>
      <c r="J307" s="43"/>
      <c r="K307" s="43">
        <f t="shared" si="9"/>
        <v>16.3</v>
      </c>
      <c r="L307" s="43"/>
      <c r="M307" s="43"/>
      <c r="N307" s="43"/>
      <c r="O307" s="43"/>
      <c r="P307" s="46">
        <v>16.3</v>
      </c>
      <c r="Q307" s="47"/>
      <c r="R307" s="40"/>
      <c r="S307" s="42"/>
      <c r="T307" s="41"/>
      <c r="U307" s="41"/>
      <c r="V307" s="48" t="s">
        <v>453</v>
      </c>
      <c r="W307" s="43"/>
      <c r="X307" s="44">
        <v>46193</v>
      </c>
      <c r="Y307" s="41" t="s">
        <v>454</v>
      </c>
      <c r="Z307" s="41"/>
      <c r="AA307" s="41"/>
      <c r="AB307" s="41" t="s">
        <v>937</v>
      </c>
      <c r="AC307" s="49"/>
      <c r="AD307" s="49">
        <v>1212</v>
      </c>
      <c r="AE307" s="50"/>
      <c r="AF307" s="51"/>
      <c r="AG307" s="51"/>
      <c r="AH307" s="52"/>
      <c r="AI307" s="52"/>
      <c r="AJ307" s="53"/>
      <c r="AK307" s="52"/>
      <c r="AL307" s="43">
        <v>18</v>
      </c>
      <c r="AM307" s="168" t="s">
        <v>938</v>
      </c>
      <c r="AN307" s="36"/>
      <c r="AO307" s="36"/>
      <c r="AP307" s="37"/>
    </row>
    <row r="308" spans="1:42" s="38" customFormat="1" ht="18.75" customHeight="1" x14ac:dyDescent="0.25">
      <c r="A308" s="44">
        <v>46193</v>
      </c>
      <c r="B308" s="40">
        <f t="shared" si="8"/>
        <v>46193</v>
      </c>
      <c r="C308" s="41" t="s">
        <v>85</v>
      </c>
      <c r="D308" s="45" t="s">
        <v>86</v>
      </c>
      <c r="E308" s="45">
        <v>31705</v>
      </c>
      <c r="F308" s="45">
        <v>1</v>
      </c>
      <c r="G308" s="191">
        <v>43804871</v>
      </c>
      <c r="H308" s="54" t="s">
        <v>125</v>
      </c>
      <c r="I308" s="42"/>
      <c r="J308" s="43"/>
      <c r="K308" s="43">
        <f t="shared" si="9"/>
        <v>65</v>
      </c>
      <c r="L308" s="43"/>
      <c r="M308" s="43"/>
      <c r="N308" s="43"/>
      <c r="O308" s="43"/>
      <c r="P308" s="46">
        <v>65</v>
      </c>
      <c r="Q308" s="47"/>
      <c r="R308" s="40"/>
      <c r="S308" s="42"/>
      <c r="T308" s="41"/>
      <c r="U308" s="41"/>
      <c r="V308" s="48" t="s">
        <v>453</v>
      </c>
      <c r="W308" s="43"/>
      <c r="X308" s="44">
        <v>46193</v>
      </c>
      <c r="Y308" s="41" t="s">
        <v>454</v>
      </c>
      <c r="Z308" s="41"/>
      <c r="AA308" s="41"/>
      <c r="AB308" s="41" t="s">
        <v>937</v>
      </c>
      <c r="AC308" s="49"/>
      <c r="AD308" s="49">
        <v>1212</v>
      </c>
      <c r="AE308" s="50"/>
      <c r="AF308" s="51"/>
      <c r="AG308" s="51"/>
      <c r="AH308" s="52"/>
      <c r="AI308" s="52"/>
      <c r="AJ308" s="53"/>
      <c r="AK308" s="52"/>
      <c r="AL308" s="43">
        <v>18</v>
      </c>
      <c r="AM308" s="168" t="s">
        <v>938</v>
      </c>
      <c r="AN308" s="36"/>
      <c r="AO308" s="36"/>
      <c r="AP308" s="37"/>
    </row>
    <row r="309" spans="1:42" s="38" customFormat="1" ht="18.75" customHeight="1" x14ac:dyDescent="0.25">
      <c r="A309" s="44">
        <v>46193</v>
      </c>
      <c r="B309" s="40">
        <f t="shared" si="8"/>
        <v>46193</v>
      </c>
      <c r="C309" s="41" t="s">
        <v>85</v>
      </c>
      <c r="D309" s="45" t="s">
        <v>86</v>
      </c>
      <c r="E309" s="45">
        <v>31706</v>
      </c>
      <c r="F309" s="45">
        <v>1</v>
      </c>
      <c r="G309" s="191">
        <v>20051974</v>
      </c>
      <c r="H309" s="54" t="s">
        <v>341</v>
      </c>
      <c r="I309" s="42"/>
      <c r="J309" s="43"/>
      <c r="K309" s="43">
        <f t="shared" si="9"/>
        <v>50.2</v>
      </c>
      <c r="L309" s="43"/>
      <c r="M309" s="43"/>
      <c r="N309" s="43"/>
      <c r="O309" s="43"/>
      <c r="P309" s="46">
        <v>50.2</v>
      </c>
      <c r="Q309" s="47"/>
      <c r="R309" s="40"/>
      <c r="S309" s="42"/>
      <c r="T309" s="41"/>
      <c r="U309" s="41"/>
      <c r="V309" s="48" t="s">
        <v>453</v>
      </c>
      <c r="W309" s="43"/>
      <c r="X309" s="44">
        <v>46193</v>
      </c>
      <c r="Y309" s="41" t="s">
        <v>454</v>
      </c>
      <c r="Z309" s="41"/>
      <c r="AA309" s="41"/>
      <c r="AB309" s="41" t="s">
        <v>937</v>
      </c>
      <c r="AC309" s="49"/>
      <c r="AD309" s="49">
        <v>1212</v>
      </c>
      <c r="AE309" s="50"/>
      <c r="AF309" s="51"/>
      <c r="AG309" s="51"/>
      <c r="AH309" s="52"/>
      <c r="AI309" s="52"/>
      <c r="AJ309" s="53"/>
      <c r="AK309" s="52"/>
      <c r="AL309" s="43">
        <v>18</v>
      </c>
      <c r="AM309" s="168" t="s">
        <v>938</v>
      </c>
      <c r="AN309" s="36"/>
      <c r="AO309" s="36"/>
      <c r="AP309" s="37"/>
    </row>
    <row r="310" spans="1:42" s="38" customFormat="1" ht="18.75" customHeight="1" x14ac:dyDescent="0.25">
      <c r="A310" s="44">
        <v>46193</v>
      </c>
      <c r="B310" s="40">
        <f t="shared" si="8"/>
        <v>46193</v>
      </c>
      <c r="C310" s="41" t="s">
        <v>85</v>
      </c>
      <c r="D310" s="45" t="s">
        <v>86</v>
      </c>
      <c r="E310" s="45">
        <v>31707</v>
      </c>
      <c r="F310" s="45">
        <v>1</v>
      </c>
      <c r="G310" s="191">
        <v>45338090</v>
      </c>
      <c r="H310" s="54" t="s">
        <v>342</v>
      </c>
      <c r="I310" s="42"/>
      <c r="J310" s="43"/>
      <c r="K310" s="43">
        <f t="shared" si="9"/>
        <v>6.2</v>
      </c>
      <c r="L310" s="43"/>
      <c r="M310" s="43"/>
      <c r="N310" s="43"/>
      <c r="O310" s="43"/>
      <c r="P310" s="46">
        <v>6.2</v>
      </c>
      <c r="Q310" s="47"/>
      <c r="R310" s="40"/>
      <c r="S310" s="42"/>
      <c r="T310" s="41"/>
      <c r="U310" s="41"/>
      <c r="V310" s="48" t="s">
        <v>453</v>
      </c>
      <c r="W310" s="43"/>
      <c r="X310" s="44">
        <v>46193</v>
      </c>
      <c r="Y310" s="41" t="s">
        <v>454</v>
      </c>
      <c r="Z310" s="41"/>
      <c r="AA310" s="41"/>
      <c r="AB310" s="41" t="s">
        <v>937</v>
      </c>
      <c r="AC310" s="49"/>
      <c r="AD310" s="49">
        <v>1212</v>
      </c>
      <c r="AE310" s="50"/>
      <c r="AF310" s="51"/>
      <c r="AG310" s="51"/>
      <c r="AH310" s="52"/>
      <c r="AI310" s="52"/>
      <c r="AJ310" s="53"/>
      <c r="AK310" s="52"/>
      <c r="AL310" s="43">
        <v>18</v>
      </c>
      <c r="AM310" s="168" t="s">
        <v>938</v>
      </c>
      <c r="AN310" s="36"/>
      <c r="AO310" s="36"/>
      <c r="AP310" s="37"/>
    </row>
    <row r="311" spans="1:42" s="38" customFormat="1" ht="18.75" customHeight="1" x14ac:dyDescent="0.25">
      <c r="A311" s="44">
        <v>46193</v>
      </c>
      <c r="B311" s="40">
        <f t="shared" si="8"/>
        <v>46193</v>
      </c>
      <c r="C311" s="41" t="s">
        <v>85</v>
      </c>
      <c r="D311" s="45" t="s">
        <v>86</v>
      </c>
      <c r="E311" s="45">
        <v>31708</v>
      </c>
      <c r="F311" s="45">
        <v>1</v>
      </c>
      <c r="G311" s="191">
        <v>31920482</v>
      </c>
      <c r="H311" s="54" t="s">
        <v>343</v>
      </c>
      <c r="I311" s="42"/>
      <c r="J311" s="43"/>
      <c r="K311" s="43">
        <f t="shared" si="9"/>
        <v>77.599999999999994</v>
      </c>
      <c r="L311" s="43"/>
      <c r="M311" s="43"/>
      <c r="N311" s="43"/>
      <c r="O311" s="43"/>
      <c r="P311" s="46">
        <v>77.599999999999994</v>
      </c>
      <c r="Q311" s="47"/>
      <c r="R311" s="40"/>
      <c r="S311" s="42"/>
      <c r="T311" s="41"/>
      <c r="U311" s="41"/>
      <c r="V311" s="48" t="s">
        <v>453</v>
      </c>
      <c r="W311" s="43"/>
      <c r="X311" s="44">
        <v>46193</v>
      </c>
      <c r="Y311" s="41" t="s">
        <v>454</v>
      </c>
      <c r="Z311" s="41"/>
      <c r="AA311" s="41"/>
      <c r="AB311" s="41" t="s">
        <v>937</v>
      </c>
      <c r="AC311" s="49"/>
      <c r="AD311" s="49">
        <v>1212</v>
      </c>
      <c r="AE311" s="50"/>
      <c r="AF311" s="51"/>
      <c r="AG311" s="51"/>
      <c r="AH311" s="52"/>
      <c r="AI311" s="52"/>
      <c r="AJ311" s="53"/>
      <c r="AK311" s="52"/>
      <c r="AL311" s="43">
        <v>18</v>
      </c>
      <c r="AM311" s="168" t="s">
        <v>938</v>
      </c>
      <c r="AN311" s="36"/>
      <c r="AO311" s="36"/>
      <c r="AP311" s="37"/>
    </row>
    <row r="312" spans="1:42" s="38" customFormat="1" ht="18.75" customHeight="1" x14ac:dyDescent="0.25">
      <c r="A312" s="44">
        <v>46193</v>
      </c>
      <c r="B312" s="40">
        <f t="shared" si="8"/>
        <v>46193</v>
      </c>
      <c r="C312" s="41" t="s">
        <v>85</v>
      </c>
      <c r="D312" s="45" t="s">
        <v>86</v>
      </c>
      <c r="E312" s="45">
        <v>31709</v>
      </c>
      <c r="F312" s="45">
        <v>1</v>
      </c>
      <c r="G312" s="191">
        <v>74209762</v>
      </c>
      <c r="H312" s="54" t="s">
        <v>344</v>
      </c>
      <c r="I312" s="42"/>
      <c r="J312" s="43"/>
      <c r="K312" s="43">
        <f t="shared" si="9"/>
        <v>15</v>
      </c>
      <c r="L312" s="43"/>
      <c r="M312" s="43"/>
      <c r="N312" s="43"/>
      <c r="O312" s="43"/>
      <c r="P312" s="46">
        <v>15</v>
      </c>
      <c r="Q312" s="47"/>
      <c r="R312" s="40"/>
      <c r="S312" s="42"/>
      <c r="T312" s="41"/>
      <c r="U312" s="41"/>
      <c r="V312" s="48" t="s">
        <v>453</v>
      </c>
      <c r="W312" s="43"/>
      <c r="X312" s="44">
        <v>46193</v>
      </c>
      <c r="Y312" s="41" t="s">
        <v>454</v>
      </c>
      <c r="Z312" s="41"/>
      <c r="AA312" s="41"/>
      <c r="AB312" s="41" t="s">
        <v>937</v>
      </c>
      <c r="AC312" s="49"/>
      <c r="AD312" s="49">
        <v>1212</v>
      </c>
      <c r="AE312" s="50"/>
      <c r="AF312" s="51"/>
      <c r="AG312" s="51"/>
      <c r="AH312" s="52"/>
      <c r="AI312" s="52"/>
      <c r="AJ312" s="53"/>
      <c r="AK312" s="52"/>
      <c r="AL312" s="43">
        <v>18</v>
      </c>
      <c r="AM312" s="168" t="s">
        <v>938</v>
      </c>
      <c r="AN312" s="36"/>
      <c r="AO312" s="36"/>
      <c r="AP312" s="37"/>
    </row>
    <row r="313" spans="1:42" s="38" customFormat="1" ht="18.75" customHeight="1" x14ac:dyDescent="0.25">
      <c r="A313" s="44">
        <v>46193</v>
      </c>
      <c r="B313" s="40">
        <f t="shared" si="8"/>
        <v>46193</v>
      </c>
      <c r="C313" s="41" t="s">
        <v>85</v>
      </c>
      <c r="D313" s="45" t="s">
        <v>86</v>
      </c>
      <c r="E313" s="45">
        <v>31710</v>
      </c>
      <c r="F313" s="45">
        <v>1</v>
      </c>
      <c r="G313" s="191">
        <v>20405892</v>
      </c>
      <c r="H313" s="54" t="s">
        <v>345</v>
      </c>
      <c r="I313" s="42"/>
      <c r="J313" s="43"/>
      <c r="K313" s="43">
        <f t="shared" si="9"/>
        <v>82.5</v>
      </c>
      <c r="L313" s="43"/>
      <c r="M313" s="43"/>
      <c r="N313" s="43"/>
      <c r="O313" s="43"/>
      <c r="P313" s="46">
        <v>82.5</v>
      </c>
      <c r="Q313" s="47"/>
      <c r="R313" s="40"/>
      <c r="S313" s="42"/>
      <c r="T313" s="41"/>
      <c r="U313" s="41"/>
      <c r="V313" s="48" t="s">
        <v>453</v>
      </c>
      <c r="W313" s="43"/>
      <c r="X313" s="44">
        <v>46193</v>
      </c>
      <c r="Y313" s="41" t="s">
        <v>454</v>
      </c>
      <c r="Z313" s="41"/>
      <c r="AA313" s="41"/>
      <c r="AB313" s="41" t="s">
        <v>937</v>
      </c>
      <c r="AC313" s="49"/>
      <c r="AD313" s="49">
        <v>1212</v>
      </c>
      <c r="AE313" s="50"/>
      <c r="AF313" s="51"/>
      <c r="AG313" s="51"/>
      <c r="AH313" s="52"/>
      <c r="AI313" s="52"/>
      <c r="AJ313" s="53"/>
      <c r="AK313" s="52"/>
      <c r="AL313" s="43">
        <v>18</v>
      </c>
      <c r="AM313" s="168" t="s">
        <v>938</v>
      </c>
      <c r="AN313" s="36"/>
      <c r="AO313" s="36"/>
      <c r="AP313" s="37"/>
    </row>
    <row r="314" spans="1:42" s="38" customFormat="1" ht="18.75" customHeight="1" x14ac:dyDescent="0.25">
      <c r="A314" s="44">
        <v>46193</v>
      </c>
      <c r="B314" s="40">
        <f t="shared" si="8"/>
        <v>46193</v>
      </c>
      <c r="C314" s="41" t="s">
        <v>85</v>
      </c>
      <c r="D314" s="45" t="s">
        <v>86</v>
      </c>
      <c r="E314" s="45">
        <v>31711</v>
      </c>
      <c r="F314" s="45">
        <v>1</v>
      </c>
      <c r="G314" s="191">
        <v>45657648</v>
      </c>
      <c r="H314" s="54" t="s">
        <v>307</v>
      </c>
      <c r="I314" s="42"/>
      <c r="J314" s="43"/>
      <c r="K314" s="43">
        <f t="shared" si="9"/>
        <v>17.100000000000001</v>
      </c>
      <c r="L314" s="43"/>
      <c r="M314" s="43"/>
      <c r="N314" s="43"/>
      <c r="O314" s="43"/>
      <c r="P314" s="46">
        <v>17.100000000000001</v>
      </c>
      <c r="Q314" s="47"/>
      <c r="R314" s="40"/>
      <c r="S314" s="42"/>
      <c r="T314" s="41"/>
      <c r="U314" s="41"/>
      <c r="V314" s="48" t="s">
        <v>453</v>
      </c>
      <c r="W314" s="43"/>
      <c r="X314" s="44">
        <v>46193</v>
      </c>
      <c r="Y314" s="41" t="s">
        <v>454</v>
      </c>
      <c r="Z314" s="41"/>
      <c r="AA314" s="41"/>
      <c r="AB314" s="41" t="s">
        <v>937</v>
      </c>
      <c r="AC314" s="49"/>
      <c r="AD314" s="49">
        <v>1212</v>
      </c>
      <c r="AE314" s="50"/>
      <c r="AF314" s="51"/>
      <c r="AG314" s="51"/>
      <c r="AH314" s="52"/>
      <c r="AI314" s="52"/>
      <c r="AJ314" s="53"/>
      <c r="AK314" s="52"/>
      <c r="AL314" s="43">
        <v>18</v>
      </c>
      <c r="AM314" s="168" t="s">
        <v>938</v>
      </c>
      <c r="AN314" s="36"/>
      <c r="AO314" s="36"/>
      <c r="AP314" s="37"/>
    </row>
    <row r="315" spans="1:42" s="38" customFormat="1" ht="18.75" customHeight="1" x14ac:dyDescent="0.25">
      <c r="A315" s="44">
        <v>46193</v>
      </c>
      <c r="B315" s="40">
        <f t="shared" si="8"/>
        <v>46193</v>
      </c>
      <c r="C315" s="41" t="s">
        <v>85</v>
      </c>
      <c r="D315" s="45" t="s">
        <v>86</v>
      </c>
      <c r="E315" s="45">
        <v>31712</v>
      </c>
      <c r="F315" s="45">
        <v>1</v>
      </c>
      <c r="G315" s="191">
        <v>73964356</v>
      </c>
      <c r="H315" s="54" t="s">
        <v>346</v>
      </c>
      <c r="I315" s="42"/>
      <c r="J315" s="43"/>
      <c r="K315" s="43">
        <f t="shared" si="9"/>
        <v>70</v>
      </c>
      <c r="L315" s="43"/>
      <c r="M315" s="43"/>
      <c r="N315" s="43"/>
      <c r="O315" s="43"/>
      <c r="P315" s="46">
        <v>70</v>
      </c>
      <c r="Q315" s="47"/>
      <c r="R315" s="40"/>
      <c r="S315" s="42"/>
      <c r="T315" s="41"/>
      <c r="U315" s="41"/>
      <c r="V315" s="48" t="s">
        <v>453</v>
      </c>
      <c r="W315" s="43"/>
      <c r="X315" s="44">
        <v>46193</v>
      </c>
      <c r="Y315" s="41" t="s">
        <v>454</v>
      </c>
      <c r="Z315" s="41"/>
      <c r="AA315" s="41"/>
      <c r="AB315" s="41" t="s">
        <v>937</v>
      </c>
      <c r="AC315" s="49"/>
      <c r="AD315" s="49">
        <v>1212</v>
      </c>
      <c r="AE315" s="50"/>
      <c r="AF315" s="51"/>
      <c r="AG315" s="51"/>
      <c r="AH315" s="52"/>
      <c r="AI315" s="52"/>
      <c r="AJ315" s="53"/>
      <c r="AK315" s="52"/>
      <c r="AL315" s="43">
        <v>18</v>
      </c>
      <c r="AM315" s="168" t="s">
        <v>938</v>
      </c>
      <c r="AN315" s="36"/>
      <c r="AO315" s="36"/>
      <c r="AP315" s="37"/>
    </row>
    <row r="316" spans="1:42" s="38" customFormat="1" ht="18.75" customHeight="1" x14ac:dyDescent="0.25">
      <c r="A316" s="44">
        <v>46193</v>
      </c>
      <c r="B316" s="40">
        <f t="shared" si="8"/>
        <v>46193</v>
      </c>
      <c r="C316" s="41" t="s">
        <v>85</v>
      </c>
      <c r="D316" s="45" t="s">
        <v>86</v>
      </c>
      <c r="E316" s="45">
        <v>31713</v>
      </c>
      <c r="F316" s="45">
        <v>1</v>
      </c>
      <c r="G316" s="191">
        <v>46798728</v>
      </c>
      <c r="H316" s="54" t="s">
        <v>347</v>
      </c>
      <c r="I316" s="42"/>
      <c r="J316" s="43"/>
      <c r="K316" s="43">
        <f t="shared" si="9"/>
        <v>12.5</v>
      </c>
      <c r="L316" s="43"/>
      <c r="M316" s="43"/>
      <c r="N316" s="43"/>
      <c r="O316" s="43"/>
      <c r="P316" s="46">
        <v>12.5</v>
      </c>
      <c r="Q316" s="47"/>
      <c r="R316" s="40"/>
      <c r="S316" s="42"/>
      <c r="T316" s="41"/>
      <c r="U316" s="41"/>
      <c r="V316" s="48" t="s">
        <v>453</v>
      </c>
      <c r="W316" s="43"/>
      <c r="X316" s="44">
        <v>46193</v>
      </c>
      <c r="Y316" s="41" t="s">
        <v>454</v>
      </c>
      <c r="Z316" s="41"/>
      <c r="AA316" s="41"/>
      <c r="AB316" s="41" t="s">
        <v>937</v>
      </c>
      <c r="AC316" s="49"/>
      <c r="AD316" s="49">
        <v>1212</v>
      </c>
      <c r="AE316" s="50"/>
      <c r="AF316" s="51"/>
      <c r="AG316" s="51"/>
      <c r="AH316" s="52"/>
      <c r="AI316" s="52"/>
      <c r="AJ316" s="53"/>
      <c r="AK316" s="52"/>
      <c r="AL316" s="43">
        <v>18</v>
      </c>
      <c r="AM316" s="168" t="s">
        <v>938</v>
      </c>
      <c r="AN316" s="36"/>
      <c r="AO316" s="36"/>
      <c r="AP316" s="37"/>
    </row>
    <row r="317" spans="1:42" s="38" customFormat="1" ht="18.75" customHeight="1" x14ac:dyDescent="0.25">
      <c r="A317" s="44">
        <v>46195</v>
      </c>
      <c r="B317" s="40">
        <f t="shared" si="8"/>
        <v>46195</v>
      </c>
      <c r="C317" s="41" t="s">
        <v>85</v>
      </c>
      <c r="D317" s="45" t="s">
        <v>86</v>
      </c>
      <c r="E317" s="45">
        <v>31714</v>
      </c>
      <c r="F317" s="45">
        <v>6</v>
      </c>
      <c r="G317" s="191">
        <v>20518164717</v>
      </c>
      <c r="H317" s="54" t="s">
        <v>118</v>
      </c>
      <c r="I317" s="42"/>
      <c r="J317" s="43"/>
      <c r="K317" s="43">
        <f t="shared" si="9"/>
        <v>24.7</v>
      </c>
      <c r="L317" s="43"/>
      <c r="M317" s="43"/>
      <c r="N317" s="43"/>
      <c r="O317" s="43"/>
      <c r="P317" s="46">
        <v>24.7</v>
      </c>
      <c r="Q317" s="47"/>
      <c r="R317" s="40"/>
      <c r="S317" s="42"/>
      <c r="T317" s="41"/>
      <c r="U317" s="41"/>
      <c r="V317" s="48" t="s">
        <v>453</v>
      </c>
      <c r="W317" s="43"/>
      <c r="X317" s="44">
        <v>46195</v>
      </c>
      <c r="Y317" s="41" t="s">
        <v>454</v>
      </c>
      <c r="Z317" s="41"/>
      <c r="AA317" s="41"/>
      <c r="AB317" s="41" t="s">
        <v>937</v>
      </c>
      <c r="AC317" s="49"/>
      <c r="AD317" s="49">
        <v>1212</v>
      </c>
      <c r="AE317" s="50"/>
      <c r="AF317" s="51"/>
      <c r="AG317" s="51"/>
      <c r="AH317" s="52"/>
      <c r="AI317" s="52"/>
      <c r="AJ317" s="53"/>
      <c r="AK317" s="52"/>
      <c r="AL317" s="43">
        <v>18</v>
      </c>
      <c r="AM317" s="168" t="s">
        <v>938</v>
      </c>
      <c r="AN317" s="36"/>
      <c r="AO317" s="36"/>
      <c r="AP317" s="37"/>
    </row>
    <row r="318" spans="1:42" s="38" customFormat="1" ht="18.75" customHeight="1" x14ac:dyDescent="0.25">
      <c r="A318" s="44">
        <v>46195</v>
      </c>
      <c r="B318" s="40">
        <f t="shared" si="8"/>
        <v>46195</v>
      </c>
      <c r="C318" s="41" t="s">
        <v>85</v>
      </c>
      <c r="D318" s="45" t="s">
        <v>86</v>
      </c>
      <c r="E318" s="45">
        <v>31715</v>
      </c>
      <c r="F318" s="45">
        <v>1</v>
      </c>
      <c r="G318" s="191">
        <v>46798728</v>
      </c>
      <c r="H318" s="54" t="s">
        <v>347</v>
      </c>
      <c r="I318" s="42"/>
      <c r="J318" s="43"/>
      <c r="K318" s="43">
        <f t="shared" si="9"/>
        <v>10</v>
      </c>
      <c r="L318" s="43"/>
      <c r="M318" s="43"/>
      <c r="N318" s="43"/>
      <c r="O318" s="43"/>
      <c r="P318" s="46">
        <v>10</v>
      </c>
      <c r="Q318" s="47"/>
      <c r="R318" s="40"/>
      <c r="S318" s="42"/>
      <c r="T318" s="41"/>
      <c r="U318" s="41"/>
      <c r="V318" s="48" t="s">
        <v>453</v>
      </c>
      <c r="W318" s="43"/>
      <c r="X318" s="44">
        <v>46195</v>
      </c>
      <c r="Y318" s="41" t="s">
        <v>454</v>
      </c>
      <c r="Z318" s="41"/>
      <c r="AA318" s="41"/>
      <c r="AB318" s="41" t="s">
        <v>937</v>
      </c>
      <c r="AC318" s="49"/>
      <c r="AD318" s="49">
        <v>1212</v>
      </c>
      <c r="AE318" s="50"/>
      <c r="AF318" s="51"/>
      <c r="AG318" s="51"/>
      <c r="AH318" s="52"/>
      <c r="AI318" s="52"/>
      <c r="AJ318" s="53"/>
      <c r="AK318" s="52"/>
      <c r="AL318" s="43">
        <v>18</v>
      </c>
      <c r="AM318" s="168" t="s">
        <v>938</v>
      </c>
      <c r="AN318" s="36"/>
      <c r="AO318" s="36"/>
      <c r="AP318" s="37"/>
    </row>
    <row r="319" spans="1:42" s="38" customFormat="1" ht="18.75" customHeight="1" x14ac:dyDescent="0.25">
      <c r="A319" s="44">
        <v>46195</v>
      </c>
      <c r="B319" s="40">
        <f t="shared" si="8"/>
        <v>46195</v>
      </c>
      <c r="C319" s="41" t="s">
        <v>85</v>
      </c>
      <c r="D319" s="45" t="s">
        <v>86</v>
      </c>
      <c r="E319" s="45">
        <v>31716</v>
      </c>
      <c r="F319" s="45">
        <v>1</v>
      </c>
      <c r="G319" s="191">
        <v>20432273</v>
      </c>
      <c r="H319" s="54" t="s">
        <v>348</v>
      </c>
      <c r="I319" s="42"/>
      <c r="J319" s="43"/>
      <c r="K319" s="43">
        <f t="shared" si="9"/>
        <v>17.5</v>
      </c>
      <c r="L319" s="43"/>
      <c r="M319" s="43"/>
      <c r="N319" s="43"/>
      <c r="O319" s="43"/>
      <c r="P319" s="46">
        <v>17.5</v>
      </c>
      <c r="Q319" s="47"/>
      <c r="R319" s="40"/>
      <c r="S319" s="42"/>
      <c r="T319" s="41"/>
      <c r="U319" s="41"/>
      <c r="V319" s="48" t="s">
        <v>453</v>
      </c>
      <c r="W319" s="43"/>
      <c r="X319" s="44">
        <v>46195</v>
      </c>
      <c r="Y319" s="41" t="s">
        <v>454</v>
      </c>
      <c r="Z319" s="41"/>
      <c r="AA319" s="41"/>
      <c r="AB319" s="41" t="s">
        <v>937</v>
      </c>
      <c r="AC319" s="49"/>
      <c r="AD319" s="49">
        <v>1212</v>
      </c>
      <c r="AE319" s="50"/>
      <c r="AF319" s="51"/>
      <c r="AG319" s="51"/>
      <c r="AH319" s="52"/>
      <c r="AI319" s="52"/>
      <c r="AJ319" s="53"/>
      <c r="AK319" s="52"/>
      <c r="AL319" s="43">
        <v>18</v>
      </c>
      <c r="AM319" s="168" t="s">
        <v>938</v>
      </c>
      <c r="AN319" s="36"/>
      <c r="AO319" s="36"/>
      <c r="AP319" s="37"/>
    </row>
    <row r="320" spans="1:42" s="38" customFormat="1" ht="18.75" customHeight="1" x14ac:dyDescent="0.25">
      <c r="A320" s="44">
        <v>46195</v>
      </c>
      <c r="B320" s="40">
        <f t="shared" si="8"/>
        <v>46195</v>
      </c>
      <c r="C320" s="41" t="s">
        <v>85</v>
      </c>
      <c r="D320" s="45" t="s">
        <v>86</v>
      </c>
      <c r="E320" s="45">
        <v>31717</v>
      </c>
      <c r="F320" s="45">
        <v>1</v>
      </c>
      <c r="G320" s="191">
        <v>42597284</v>
      </c>
      <c r="H320" s="54" t="s">
        <v>349</v>
      </c>
      <c r="I320" s="42"/>
      <c r="J320" s="43"/>
      <c r="K320" s="43">
        <f t="shared" si="9"/>
        <v>9.5</v>
      </c>
      <c r="L320" s="43"/>
      <c r="M320" s="43"/>
      <c r="N320" s="43"/>
      <c r="O320" s="43"/>
      <c r="P320" s="46">
        <v>9.5</v>
      </c>
      <c r="Q320" s="47"/>
      <c r="R320" s="40"/>
      <c r="S320" s="42"/>
      <c r="T320" s="41"/>
      <c r="U320" s="41"/>
      <c r="V320" s="48" t="s">
        <v>453</v>
      </c>
      <c r="W320" s="43"/>
      <c r="X320" s="44">
        <v>46195</v>
      </c>
      <c r="Y320" s="41" t="s">
        <v>454</v>
      </c>
      <c r="Z320" s="41"/>
      <c r="AA320" s="41"/>
      <c r="AB320" s="41" t="s">
        <v>937</v>
      </c>
      <c r="AC320" s="49"/>
      <c r="AD320" s="49">
        <v>1212</v>
      </c>
      <c r="AE320" s="50"/>
      <c r="AF320" s="51"/>
      <c r="AG320" s="51"/>
      <c r="AH320" s="52"/>
      <c r="AI320" s="52"/>
      <c r="AJ320" s="53"/>
      <c r="AK320" s="52"/>
      <c r="AL320" s="43">
        <v>18</v>
      </c>
      <c r="AM320" s="168" t="s">
        <v>938</v>
      </c>
      <c r="AN320" s="36"/>
      <c r="AO320" s="36"/>
      <c r="AP320" s="37"/>
    </row>
    <row r="321" spans="1:42" s="38" customFormat="1" ht="18.75" customHeight="1" x14ac:dyDescent="0.25">
      <c r="A321" s="44">
        <v>46195</v>
      </c>
      <c r="B321" s="40">
        <f t="shared" si="8"/>
        <v>46195</v>
      </c>
      <c r="C321" s="41" t="s">
        <v>85</v>
      </c>
      <c r="D321" s="45" t="s">
        <v>86</v>
      </c>
      <c r="E321" s="45">
        <v>31718</v>
      </c>
      <c r="F321" s="45">
        <v>1</v>
      </c>
      <c r="G321" s="191">
        <v>73112170</v>
      </c>
      <c r="H321" s="54" t="s">
        <v>350</v>
      </c>
      <c r="I321" s="42"/>
      <c r="J321" s="43"/>
      <c r="K321" s="43">
        <f t="shared" si="9"/>
        <v>7.5</v>
      </c>
      <c r="L321" s="43"/>
      <c r="M321" s="43"/>
      <c r="N321" s="43"/>
      <c r="O321" s="43"/>
      <c r="P321" s="46">
        <v>7.5</v>
      </c>
      <c r="Q321" s="47"/>
      <c r="R321" s="40"/>
      <c r="S321" s="42"/>
      <c r="T321" s="41"/>
      <c r="U321" s="41"/>
      <c r="V321" s="48" t="s">
        <v>453</v>
      </c>
      <c r="W321" s="43"/>
      <c r="X321" s="44">
        <v>46195</v>
      </c>
      <c r="Y321" s="41" t="s">
        <v>454</v>
      </c>
      <c r="Z321" s="41"/>
      <c r="AA321" s="41"/>
      <c r="AB321" s="41" t="s">
        <v>937</v>
      </c>
      <c r="AC321" s="49"/>
      <c r="AD321" s="49">
        <v>1212</v>
      </c>
      <c r="AE321" s="50"/>
      <c r="AF321" s="51"/>
      <c r="AG321" s="51"/>
      <c r="AH321" s="52"/>
      <c r="AI321" s="52"/>
      <c r="AJ321" s="53"/>
      <c r="AK321" s="52"/>
      <c r="AL321" s="43">
        <v>18</v>
      </c>
      <c r="AM321" s="168" t="s">
        <v>938</v>
      </c>
      <c r="AN321" s="36"/>
      <c r="AO321" s="36"/>
      <c r="AP321" s="37"/>
    </row>
    <row r="322" spans="1:42" s="38" customFormat="1" ht="18.75" customHeight="1" x14ac:dyDescent="0.25">
      <c r="A322" s="44">
        <v>46195</v>
      </c>
      <c r="B322" s="40">
        <f t="shared" si="8"/>
        <v>46195</v>
      </c>
      <c r="C322" s="41" t="s">
        <v>85</v>
      </c>
      <c r="D322" s="45" t="s">
        <v>86</v>
      </c>
      <c r="E322" s="45">
        <v>31719</v>
      </c>
      <c r="F322" s="45">
        <v>1</v>
      </c>
      <c r="G322" s="191">
        <v>43284632</v>
      </c>
      <c r="H322" s="54" t="s">
        <v>351</v>
      </c>
      <c r="I322" s="42"/>
      <c r="J322" s="43"/>
      <c r="K322" s="43">
        <f t="shared" si="9"/>
        <v>10</v>
      </c>
      <c r="L322" s="43"/>
      <c r="M322" s="43"/>
      <c r="N322" s="43"/>
      <c r="O322" s="43"/>
      <c r="P322" s="46">
        <v>10</v>
      </c>
      <c r="Q322" s="47"/>
      <c r="R322" s="40"/>
      <c r="S322" s="42"/>
      <c r="T322" s="41"/>
      <c r="U322" s="41"/>
      <c r="V322" s="48" t="s">
        <v>453</v>
      </c>
      <c r="W322" s="43"/>
      <c r="X322" s="44">
        <v>46195</v>
      </c>
      <c r="Y322" s="41" t="s">
        <v>454</v>
      </c>
      <c r="Z322" s="41"/>
      <c r="AA322" s="41"/>
      <c r="AB322" s="41" t="s">
        <v>937</v>
      </c>
      <c r="AC322" s="49"/>
      <c r="AD322" s="49">
        <v>1212</v>
      </c>
      <c r="AE322" s="50"/>
      <c r="AF322" s="51"/>
      <c r="AG322" s="51"/>
      <c r="AH322" s="52"/>
      <c r="AI322" s="52"/>
      <c r="AJ322" s="53"/>
      <c r="AK322" s="52"/>
      <c r="AL322" s="43">
        <v>18</v>
      </c>
      <c r="AM322" s="168" t="s">
        <v>938</v>
      </c>
      <c r="AN322" s="36"/>
      <c r="AO322" s="36"/>
      <c r="AP322" s="37"/>
    </row>
    <row r="323" spans="1:42" s="38" customFormat="1" ht="18.75" customHeight="1" x14ac:dyDescent="0.25">
      <c r="A323" s="44">
        <v>46195</v>
      </c>
      <c r="B323" s="40">
        <f t="shared" si="8"/>
        <v>46195</v>
      </c>
      <c r="C323" s="41" t="s">
        <v>85</v>
      </c>
      <c r="D323" s="45" t="s">
        <v>86</v>
      </c>
      <c r="E323" s="45">
        <v>31720</v>
      </c>
      <c r="F323" s="45">
        <v>1</v>
      </c>
      <c r="G323" s="191">
        <v>42544950</v>
      </c>
      <c r="H323" s="54" t="s">
        <v>352</v>
      </c>
      <c r="I323" s="42"/>
      <c r="J323" s="43"/>
      <c r="K323" s="43">
        <f t="shared" si="9"/>
        <v>20</v>
      </c>
      <c r="L323" s="43"/>
      <c r="M323" s="43"/>
      <c r="N323" s="43"/>
      <c r="O323" s="43"/>
      <c r="P323" s="46">
        <v>20</v>
      </c>
      <c r="Q323" s="47"/>
      <c r="R323" s="40"/>
      <c r="S323" s="42"/>
      <c r="T323" s="41"/>
      <c r="U323" s="41"/>
      <c r="V323" s="48" t="s">
        <v>453</v>
      </c>
      <c r="W323" s="43"/>
      <c r="X323" s="44">
        <v>46195</v>
      </c>
      <c r="Y323" s="41" t="s">
        <v>454</v>
      </c>
      <c r="Z323" s="41"/>
      <c r="AA323" s="41"/>
      <c r="AB323" s="41" t="s">
        <v>937</v>
      </c>
      <c r="AC323" s="49"/>
      <c r="AD323" s="49">
        <v>1212</v>
      </c>
      <c r="AE323" s="50"/>
      <c r="AF323" s="51"/>
      <c r="AG323" s="51"/>
      <c r="AH323" s="52"/>
      <c r="AI323" s="52"/>
      <c r="AJ323" s="53"/>
      <c r="AK323" s="52"/>
      <c r="AL323" s="43">
        <v>18</v>
      </c>
      <c r="AM323" s="168" t="s">
        <v>938</v>
      </c>
      <c r="AN323" s="36"/>
      <c r="AO323" s="36"/>
      <c r="AP323" s="37"/>
    </row>
    <row r="324" spans="1:42" s="38" customFormat="1" ht="18.75" customHeight="1" x14ac:dyDescent="0.25">
      <c r="A324" s="44">
        <v>46195</v>
      </c>
      <c r="B324" s="40">
        <f t="shared" si="8"/>
        <v>46195</v>
      </c>
      <c r="C324" s="41" t="s">
        <v>85</v>
      </c>
      <c r="D324" s="45" t="s">
        <v>86</v>
      </c>
      <c r="E324" s="45">
        <v>31721</v>
      </c>
      <c r="F324" s="45">
        <v>1</v>
      </c>
      <c r="G324" s="191">
        <v>42599028</v>
      </c>
      <c r="H324" s="54" t="s">
        <v>353</v>
      </c>
      <c r="I324" s="42"/>
      <c r="J324" s="43"/>
      <c r="K324" s="43">
        <f t="shared" si="9"/>
        <v>50</v>
      </c>
      <c r="L324" s="43"/>
      <c r="M324" s="43"/>
      <c r="N324" s="43"/>
      <c r="O324" s="43"/>
      <c r="P324" s="46">
        <v>50</v>
      </c>
      <c r="Q324" s="47"/>
      <c r="R324" s="40"/>
      <c r="S324" s="42"/>
      <c r="T324" s="41"/>
      <c r="U324" s="41"/>
      <c r="V324" s="48" t="s">
        <v>453</v>
      </c>
      <c r="W324" s="43"/>
      <c r="X324" s="44">
        <v>46195</v>
      </c>
      <c r="Y324" s="41" t="s">
        <v>454</v>
      </c>
      <c r="Z324" s="41"/>
      <c r="AA324" s="41"/>
      <c r="AB324" s="41" t="s">
        <v>937</v>
      </c>
      <c r="AC324" s="49"/>
      <c r="AD324" s="49">
        <v>1212</v>
      </c>
      <c r="AE324" s="50"/>
      <c r="AF324" s="51"/>
      <c r="AG324" s="51"/>
      <c r="AH324" s="52"/>
      <c r="AI324" s="52"/>
      <c r="AJ324" s="53"/>
      <c r="AK324" s="52"/>
      <c r="AL324" s="43">
        <v>18</v>
      </c>
      <c r="AM324" s="168" t="s">
        <v>938</v>
      </c>
      <c r="AN324" s="36"/>
      <c r="AO324" s="36"/>
      <c r="AP324" s="37"/>
    </row>
    <row r="325" spans="1:42" s="38" customFormat="1" ht="18.75" customHeight="1" x14ac:dyDescent="0.25">
      <c r="A325" s="44">
        <v>46195</v>
      </c>
      <c r="B325" s="40">
        <f t="shared" ref="B325:B376" si="10">+A325</f>
        <v>46195</v>
      </c>
      <c r="C325" s="41" t="s">
        <v>85</v>
      </c>
      <c r="D325" s="45" t="s">
        <v>86</v>
      </c>
      <c r="E325" s="45">
        <v>31722</v>
      </c>
      <c r="F325" s="45">
        <v>1</v>
      </c>
      <c r="G325" s="191">
        <v>72445234</v>
      </c>
      <c r="H325" s="54" t="s">
        <v>354</v>
      </c>
      <c r="I325" s="42"/>
      <c r="J325" s="43"/>
      <c r="K325" s="43">
        <f t="shared" ref="K325:K376" si="11">+P325</f>
        <v>7.5</v>
      </c>
      <c r="L325" s="43"/>
      <c r="M325" s="43"/>
      <c r="N325" s="43"/>
      <c r="O325" s="43"/>
      <c r="P325" s="46">
        <v>7.5</v>
      </c>
      <c r="Q325" s="47"/>
      <c r="R325" s="40"/>
      <c r="S325" s="42"/>
      <c r="T325" s="41"/>
      <c r="U325" s="41"/>
      <c r="V325" s="48" t="s">
        <v>453</v>
      </c>
      <c r="W325" s="43"/>
      <c r="X325" s="44">
        <v>46195</v>
      </c>
      <c r="Y325" s="41" t="s">
        <v>454</v>
      </c>
      <c r="Z325" s="41"/>
      <c r="AA325" s="41"/>
      <c r="AB325" s="41" t="s">
        <v>937</v>
      </c>
      <c r="AC325" s="49"/>
      <c r="AD325" s="49">
        <v>1212</v>
      </c>
      <c r="AE325" s="50"/>
      <c r="AF325" s="51"/>
      <c r="AG325" s="51"/>
      <c r="AH325" s="52"/>
      <c r="AI325" s="52"/>
      <c r="AJ325" s="53"/>
      <c r="AK325" s="52"/>
      <c r="AL325" s="43">
        <v>18</v>
      </c>
      <c r="AM325" s="168" t="s">
        <v>938</v>
      </c>
      <c r="AN325" s="36"/>
      <c r="AO325" s="36"/>
      <c r="AP325" s="37"/>
    </row>
    <row r="326" spans="1:42" s="38" customFormat="1" ht="18.75" customHeight="1" x14ac:dyDescent="0.25">
      <c r="A326" s="44">
        <v>46195</v>
      </c>
      <c r="B326" s="40">
        <f t="shared" si="10"/>
        <v>46195</v>
      </c>
      <c r="C326" s="41" t="s">
        <v>85</v>
      </c>
      <c r="D326" s="45" t="s">
        <v>86</v>
      </c>
      <c r="E326" s="45">
        <v>31723</v>
      </c>
      <c r="F326" s="45">
        <v>1</v>
      </c>
      <c r="G326" s="191">
        <v>20433528</v>
      </c>
      <c r="H326" s="54" t="s">
        <v>355</v>
      </c>
      <c r="I326" s="42"/>
      <c r="J326" s="43"/>
      <c r="K326" s="43">
        <f t="shared" si="11"/>
        <v>10</v>
      </c>
      <c r="L326" s="43"/>
      <c r="M326" s="43"/>
      <c r="N326" s="43"/>
      <c r="O326" s="43"/>
      <c r="P326" s="46">
        <v>10</v>
      </c>
      <c r="Q326" s="47"/>
      <c r="R326" s="40"/>
      <c r="S326" s="42"/>
      <c r="T326" s="41"/>
      <c r="U326" s="41"/>
      <c r="V326" s="48" t="s">
        <v>453</v>
      </c>
      <c r="W326" s="43"/>
      <c r="X326" s="44">
        <v>46195</v>
      </c>
      <c r="Y326" s="41" t="s">
        <v>454</v>
      </c>
      <c r="Z326" s="41"/>
      <c r="AA326" s="41"/>
      <c r="AB326" s="41" t="s">
        <v>937</v>
      </c>
      <c r="AC326" s="49"/>
      <c r="AD326" s="49">
        <v>1212</v>
      </c>
      <c r="AE326" s="50"/>
      <c r="AF326" s="51"/>
      <c r="AG326" s="51"/>
      <c r="AH326" s="52"/>
      <c r="AI326" s="52"/>
      <c r="AJ326" s="53"/>
      <c r="AK326" s="52"/>
      <c r="AL326" s="43">
        <v>18</v>
      </c>
      <c r="AM326" s="168" t="s">
        <v>938</v>
      </c>
      <c r="AN326" s="36"/>
      <c r="AO326" s="36"/>
      <c r="AP326" s="37"/>
    </row>
    <row r="327" spans="1:42" s="38" customFormat="1" ht="18.75" customHeight="1" x14ac:dyDescent="0.25">
      <c r="A327" s="44">
        <v>46195</v>
      </c>
      <c r="B327" s="40">
        <f t="shared" si="10"/>
        <v>46195</v>
      </c>
      <c r="C327" s="41" t="s">
        <v>85</v>
      </c>
      <c r="D327" s="45" t="s">
        <v>86</v>
      </c>
      <c r="E327" s="45">
        <v>31724</v>
      </c>
      <c r="F327" s="45">
        <v>1</v>
      </c>
      <c r="G327" s="191">
        <v>80064281</v>
      </c>
      <c r="H327" s="54" t="s">
        <v>356</v>
      </c>
      <c r="I327" s="42"/>
      <c r="J327" s="43"/>
      <c r="K327" s="43">
        <f t="shared" si="11"/>
        <v>107.5</v>
      </c>
      <c r="L327" s="43"/>
      <c r="M327" s="43"/>
      <c r="N327" s="43"/>
      <c r="O327" s="43"/>
      <c r="P327" s="46">
        <v>107.5</v>
      </c>
      <c r="Q327" s="47"/>
      <c r="R327" s="40"/>
      <c r="S327" s="42"/>
      <c r="T327" s="41"/>
      <c r="U327" s="41"/>
      <c r="V327" s="48" t="s">
        <v>453</v>
      </c>
      <c r="W327" s="43"/>
      <c r="X327" s="44">
        <v>46195</v>
      </c>
      <c r="Y327" s="41" t="s">
        <v>454</v>
      </c>
      <c r="Z327" s="41"/>
      <c r="AA327" s="41"/>
      <c r="AB327" s="41" t="s">
        <v>937</v>
      </c>
      <c r="AC327" s="49"/>
      <c r="AD327" s="49">
        <v>1212</v>
      </c>
      <c r="AE327" s="50"/>
      <c r="AF327" s="51"/>
      <c r="AG327" s="51"/>
      <c r="AH327" s="52"/>
      <c r="AI327" s="52"/>
      <c r="AJ327" s="53"/>
      <c r="AK327" s="52"/>
      <c r="AL327" s="43">
        <v>18</v>
      </c>
      <c r="AM327" s="168" t="s">
        <v>938</v>
      </c>
      <c r="AN327" s="36"/>
      <c r="AO327" s="36"/>
      <c r="AP327" s="37"/>
    </row>
    <row r="328" spans="1:42" s="38" customFormat="1" ht="18.75" customHeight="1" x14ac:dyDescent="0.25">
      <c r="A328" s="44">
        <v>46195</v>
      </c>
      <c r="B328" s="40">
        <f t="shared" si="10"/>
        <v>46195</v>
      </c>
      <c r="C328" s="41" t="s">
        <v>85</v>
      </c>
      <c r="D328" s="45" t="s">
        <v>86</v>
      </c>
      <c r="E328" s="45">
        <v>31725</v>
      </c>
      <c r="F328" s="45">
        <v>1</v>
      </c>
      <c r="G328" s="191">
        <v>74139047</v>
      </c>
      <c r="H328" s="54" t="s">
        <v>206</v>
      </c>
      <c r="I328" s="42"/>
      <c r="J328" s="43"/>
      <c r="K328" s="43">
        <f t="shared" si="11"/>
        <v>9.6999999999999993</v>
      </c>
      <c r="L328" s="43"/>
      <c r="M328" s="43"/>
      <c r="N328" s="43"/>
      <c r="O328" s="43"/>
      <c r="P328" s="46">
        <v>9.6999999999999993</v>
      </c>
      <c r="Q328" s="47"/>
      <c r="R328" s="40"/>
      <c r="S328" s="42"/>
      <c r="T328" s="41"/>
      <c r="U328" s="41"/>
      <c r="V328" s="48" t="s">
        <v>453</v>
      </c>
      <c r="W328" s="43"/>
      <c r="X328" s="44">
        <v>46195</v>
      </c>
      <c r="Y328" s="41" t="s">
        <v>454</v>
      </c>
      <c r="Z328" s="41"/>
      <c r="AA328" s="41"/>
      <c r="AB328" s="41" t="s">
        <v>937</v>
      </c>
      <c r="AC328" s="49"/>
      <c r="AD328" s="49">
        <v>1212</v>
      </c>
      <c r="AE328" s="50"/>
      <c r="AF328" s="51"/>
      <c r="AG328" s="51"/>
      <c r="AH328" s="52"/>
      <c r="AI328" s="52"/>
      <c r="AJ328" s="53"/>
      <c r="AK328" s="52"/>
      <c r="AL328" s="43">
        <v>18</v>
      </c>
      <c r="AM328" s="168" t="s">
        <v>938</v>
      </c>
      <c r="AN328" s="36"/>
      <c r="AO328" s="36"/>
      <c r="AP328" s="37"/>
    </row>
    <row r="329" spans="1:42" s="38" customFormat="1" ht="18.75" customHeight="1" x14ac:dyDescent="0.25">
      <c r="A329" s="44">
        <v>46195</v>
      </c>
      <c r="B329" s="40">
        <f t="shared" si="10"/>
        <v>46195</v>
      </c>
      <c r="C329" s="41" t="s">
        <v>85</v>
      </c>
      <c r="D329" s="45" t="s">
        <v>86</v>
      </c>
      <c r="E329" s="45">
        <v>31726</v>
      </c>
      <c r="F329" s="45">
        <v>1</v>
      </c>
      <c r="G329" s="191">
        <v>20434195</v>
      </c>
      <c r="H329" s="54" t="s">
        <v>357</v>
      </c>
      <c r="I329" s="42"/>
      <c r="J329" s="43"/>
      <c r="K329" s="43">
        <f t="shared" si="11"/>
        <v>7.7</v>
      </c>
      <c r="L329" s="43"/>
      <c r="M329" s="43"/>
      <c r="N329" s="43"/>
      <c r="O329" s="43"/>
      <c r="P329" s="46">
        <v>7.7</v>
      </c>
      <c r="Q329" s="47"/>
      <c r="R329" s="40"/>
      <c r="S329" s="42"/>
      <c r="T329" s="41"/>
      <c r="U329" s="41"/>
      <c r="V329" s="48" t="s">
        <v>453</v>
      </c>
      <c r="W329" s="43"/>
      <c r="X329" s="44">
        <v>46195</v>
      </c>
      <c r="Y329" s="41" t="s">
        <v>454</v>
      </c>
      <c r="Z329" s="41"/>
      <c r="AA329" s="41"/>
      <c r="AB329" s="41" t="s">
        <v>937</v>
      </c>
      <c r="AC329" s="49"/>
      <c r="AD329" s="49">
        <v>1212</v>
      </c>
      <c r="AE329" s="50"/>
      <c r="AF329" s="51"/>
      <c r="AG329" s="51"/>
      <c r="AH329" s="52"/>
      <c r="AI329" s="52"/>
      <c r="AJ329" s="53"/>
      <c r="AK329" s="52"/>
      <c r="AL329" s="43">
        <v>18</v>
      </c>
      <c r="AM329" s="168" t="s">
        <v>938</v>
      </c>
      <c r="AN329" s="36"/>
      <c r="AO329" s="36"/>
      <c r="AP329" s="37"/>
    </row>
    <row r="330" spans="1:42" s="38" customFormat="1" ht="18.75" customHeight="1" x14ac:dyDescent="0.25">
      <c r="A330" s="44">
        <v>46195</v>
      </c>
      <c r="B330" s="40">
        <f t="shared" si="10"/>
        <v>46195</v>
      </c>
      <c r="C330" s="41" t="s">
        <v>85</v>
      </c>
      <c r="D330" s="45" t="s">
        <v>86</v>
      </c>
      <c r="E330" s="45">
        <v>31727</v>
      </c>
      <c r="F330" s="45">
        <v>1</v>
      </c>
      <c r="G330" s="191">
        <v>41456680</v>
      </c>
      <c r="H330" s="54" t="s">
        <v>358</v>
      </c>
      <c r="I330" s="42"/>
      <c r="J330" s="43"/>
      <c r="K330" s="43">
        <f t="shared" si="11"/>
        <v>73.400000000000006</v>
      </c>
      <c r="L330" s="43"/>
      <c r="M330" s="43"/>
      <c r="N330" s="43"/>
      <c r="O330" s="43"/>
      <c r="P330" s="46">
        <v>73.400000000000006</v>
      </c>
      <c r="Q330" s="47"/>
      <c r="R330" s="40"/>
      <c r="S330" s="42"/>
      <c r="T330" s="41"/>
      <c r="U330" s="41"/>
      <c r="V330" s="48" t="s">
        <v>453</v>
      </c>
      <c r="W330" s="43"/>
      <c r="X330" s="44">
        <v>46195</v>
      </c>
      <c r="Y330" s="41" t="s">
        <v>454</v>
      </c>
      <c r="Z330" s="41"/>
      <c r="AA330" s="41"/>
      <c r="AB330" s="41" t="s">
        <v>937</v>
      </c>
      <c r="AC330" s="49"/>
      <c r="AD330" s="49">
        <v>1212</v>
      </c>
      <c r="AE330" s="50"/>
      <c r="AF330" s="51"/>
      <c r="AG330" s="51"/>
      <c r="AH330" s="52"/>
      <c r="AI330" s="52"/>
      <c r="AJ330" s="53"/>
      <c r="AK330" s="52"/>
      <c r="AL330" s="43">
        <v>18</v>
      </c>
      <c r="AM330" s="168" t="s">
        <v>938</v>
      </c>
      <c r="AN330" s="36"/>
      <c r="AO330" s="36"/>
      <c r="AP330" s="37"/>
    </row>
    <row r="331" spans="1:42" s="38" customFormat="1" ht="18.75" customHeight="1" x14ac:dyDescent="0.25">
      <c r="A331" s="44">
        <v>46195</v>
      </c>
      <c r="B331" s="40">
        <f t="shared" si="10"/>
        <v>46195</v>
      </c>
      <c r="C331" s="41" t="s">
        <v>85</v>
      </c>
      <c r="D331" s="45" t="s">
        <v>86</v>
      </c>
      <c r="E331" s="45">
        <v>31728</v>
      </c>
      <c r="F331" s="45">
        <v>1</v>
      </c>
      <c r="G331" s="191">
        <v>20113860</v>
      </c>
      <c r="H331" s="54" t="s">
        <v>359</v>
      </c>
      <c r="I331" s="42"/>
      <c r="J331" s="43"/>
      <c r="K331" s="43">
        <f t="shared" si="11"/>
        <v>90</v>
      </c>
      <c r="L331" s="43"/>
      <c r="M331" s="43"/>
      <c r="N331" s="43"/>
      <c r="O331" s="43"/>
      <c r="P331" s="46">
        <v>90</v>
      </c>
      <c r="Q331" s="47"/>
      <c r="R331" s="40"/>
      <c r="S331" s="42"/>
      <c r="T331" s="41"/>
      <c r="U331" s="41"/>
      <c r="V331" s="48" t="s">
        <v>453</v>
      </c>
      <c r="W331" s="43"/>
      <c r="X331" s="44">
        <v>46195</v>
      </c>
      <c r="Y331" s="41" t="s">
        <v>454</v>
      </c>
      <c r="Z331" s="41"/>
      <c r="AA331" s="41"/>
      <c r="AB331" s="41" t="s">
        <v>937</v>
      </c>
      <c r="AC331" s="49"/>
      <c r="AD331" s="49">
        <v>1212</v>
      </c>
      <c r="AE331" s="50"/>
      <c r="AF331" s="51"/>
      <c r="AG331" s="51"/>
      <c r="AH331" s="52"/>
      <c r="AI331" s="52"/>
      <c r="AJ331" s="53"/>
      <c r="AK331" s="52"/>
      <c r="AL331" s="43">
        <v>18</v>
      </c>
      <c r="AM331" s="168" t="s">
        <v>938</v>
      </c>
      <c r="AN331" s="36"/>
      <c r="AO331" s="36"/>
      <c r="AP331" s="37"/>
    </row>
    <row r="332" spans="1:42" s="38" customFormat="1" ht="18.75" customHeight="1" x14ac:dyDescent="0.25">
      <c r="A332" s="44">
        <v>46195</v>
      </c>
      <c r="B332" s="40">
        <f t="shared" si="10"/>
        <v>46195</v>
      </c>
      <c r="C332" s="41" t="s">
        <v>85</v>
      </c>
      <c r="D332" s="45" t="s">
        <v>86</v>
      </c>
      <c r="E332" s="45">
        <v>31729</v>
      </c>
      <c r="F332" s="45">
        <v>1</v>
      </c>
      <c r="G332" s="191">
        <v>20434573</v>
      </c>
      <c r="H332" s="54" t="s">
        <v>360</v>
      </c>
      <c r="I332" s="42"/>
      <c r="J332" s="43"/>
      <c r="K332" s="43">
        <f t="shared" si="11"/>
        <v>50</v>
      </c>
      <c r="L332" s="43"/>
      <c r="M332" s="43"/>
      <c r="N332" s="43"/>
      <c r="O332" s="43"/>
      <c r="P332" s="46">
        <v>50</v>
      </c>
      <c r="Q332" s="47"/>
      <c r="R332" s="40"/>
      <c r="S332" s="42"/>
      <c r="T332" s="41"/>
      <c r="U332" s="41"/>
      <c r="V332" s="48" t="s">
        <v>453</v>
      </c>
      <c r="W332" s="43"/>
      <c r="X332" s="44">
        <v>46195</v>
      </c>
      <c r="Y332" s="41" t="s">
        <v>454</v>
      </c>
      <c r="Z332" s="41"/>
      <c r="AA332" s="41"/>
      <c r="AB332" s="41" t="s">
        <v>937</v>
      </c>
      <c r="AC332" s="49"/>
      <c r="AD332" s="49">
        <v>1212</v>
      </c>
      <c r="AE332" s="50"/>
      <c r="AF332" s="51"/>
      <c r="AG332" s="51"/>
      <c r="AH332" s="52"/>
      <c r="AI332" s="52"/>
      <c r="AJ332" s="53"/>
      <c r="AK332" s="52"/>
      <c r="AL332" s="43">
        <v>18</v>
      </c>
      <c r="AM332" s="168" t="s">
        <v>938</v>
      </c>
      <c r="AN332" s="36"/>
      <c r="AO332" s="36"/>
      <c r="AP332" s="37"/>
    </row>
    <row r="333" spans="1:42" s="38" customFormat="1" ht="18.75" customHeight="1" x14ac:dyDescent="0.25">
      <c r="A333" s="44">
        <v>46195</v>
      </c>
      <c r="B333" s="40">
        <f t="shared" si="10"/>
        <v>46195</v>
      </c>
      <c r="C333" s="41" t="s">
        <v>85</v>
      </c>
      <c r="D333" s="45" t="s">
        <v>86</v>
      </c>
      <c r="E333" s="45">
        <v>31730</v>
      </c>
      <c r="F333" s="45">
        <v>1</v>
      </c>
      <c r="G333" s="191">
        <v>46013333</v>
      </c>
      <c r="H333" s="54" t="s">
        <v>361</v>
      </c>
      <c r="I333" s="42"/>
      <c r="J333" s="43"/>
      <c r="K333" s="43">
        <f t="shared" si="11"/>
        <v>67.7</v>
      </c>
      <c r="L333" s="43"/>
      <c r="M333" s="43"/>
      <c r="N333" s="43"/>
      <c r="O333" s="43"/>
      <c r="P333" s="46">
        <v>67.7</v>
      </c>
      <c r="Q333" s="47"/>
      <c r="R333" s="40"/>
      <c r="S333" s="42"/>
      <c r="T333" s="41"/>
      <c r="U333" s="41"/>
      <c r="V333" s="48" t="s">
        <v>453</v>
      </c>
      <c r="W333" s="43"/>
      <c r="X333" s="44">
        <v>46195</v>
      </c>
      <c r="Y333" s="41" t="s">
        <v>454</v>
      </c>
      <c r="Z333" s="41"/>
      <c r="AA333" s="41"/>
      <c r="AB333" s="41" t="s">
        <v>937</v>
      </c>
      <c r="AC333" s="49"/>
      <c r="AD333" s="49">
        <v>1212</v>
      </c>
      <c r="AE333" s="50"/>
      <c r="AF333" s="51"/>
      <c r="AG333" s="51"/>
      <c r="AH333" s="52"/>
      <c r="AI333" s="52"/>
      <c r="AJ333" s="53"/>
      <c r="AK333" s="52"/>
      <c r="AL333" s="43">
        <v>18</v>
      </c>
      <c r="AM333" s="168" t="s">
        <v>938</v>
      </c>
      <c r="AN333" s="36"/>
      <c r="AO333" s="36"/>
      <c r="AP333" s="37"/>
    </row>
    <row r="334" spans="1:42" s="38" customFormat="1" ht="18.75" customHeight="1" x14ac:dyDescent="0.25">
      <c r="A334" s="44">
        <v>46195</v>
      </c>
      <c r="B334" s="40">
        <f t="shared" si="10"/>
        <v>46195</v>
      </c>
      <c r="C334" s="41" t="s">
        <v>85</v>
      </c>
      <c r="D334" s="45" t="s">
        <v>86</v>
      </c>
      <c r="E334" s="45">
        <v>31731</v>
      </c>
      <c r="F334" s="45">
        <v>1</v>
      </c>
      <c r="G334" s="191">
        <v>20106302</v>
      </c>
      <c r="H334" s="54" t="s">
        <v>270</v>
      </c>
      <c r="I334" s="42"/>
      <c r="J334" s="43"/>
      <c r="K334" s="43">
        <f t="shared" si="11"/>
        <v>15</v>
      </c>
      <c r="L334" s="43"/>
      <c r="M334" s="43"/>
      <c r="N334" s="43"/>
      <c r="O334" s="43"/>
      <c r="P334" s="46">
        <v>15</v>
      </c>
      <c r="Q334" s="47"/>
      <c r="R334" s="40"/>
      <c r="S334" s="42"/>
      <c r="T334" s="41"/>
      <c r="U334" s="41"/>
      <c r="V334" s="48" t="s">
        <v>453</v>
      </c>
      <c r="W334" s="43"/>
      <c r="X334" s="44">
        <v>46195</v>
      </c>
      <c r="Y334" s="41" t="s">
        <v>454</v>
      </c>
      <c r="Z334" s="41"/>
      <c r="AA334" s="41"/>
      <c r="AB334" s="41" t="s">
        <v>937</v>
      </c>
      <c r="AC334" s="49"/>
      <c r="AD334" s="49">
        <v>1212</v>
      </c>
      <c r="AE334" s="50"/>
      <c r="AF334" s="51"/>
      <c r="AG334" s="51"/>
      <c r="AH334" s="52"/>
      <c r="AI334" s="52"/>
      <c r="AJ334" s="53"/>
      <c r="AK334" s="52"/>
      <c r="AL334" s="43">
        <v>18</v>
      </c>
      <c r="AM334" s="168" t="s">
        <v>938</v>
      </c>
      <c r="AN334" s="36"/>
      <c r="AO334" s="36"/>
      <c r="AP334" s="37"/>
    </row>
    <row r="335" spans="1:42" s="38" customFormat="1" ht="18.75" customHeight="1" x14ac:dyDescent="0.25">
      <c r="A335" s="44">
        <v>46196</v>
      </c>
      <c r="B335" s="40">
        <f t="shared" si="10"/>
        <v>46196</v>
      </c>
      <c r="C335" s="41" t="s">
        <v>85</v>
      </c>
      <c r="D335" s="45" t="s">
        <v>86</v>
      </c>
      <c r="E335" s="45">
        <v>31732</v>
      </c>
      <c r="F335" s="45">
        <v>6</v>
      </c>
      <c r="G335" s="191">
        <v>20487125921</v>
      </c>
      <c r="H335" s="54" t="s">
        <v>314</v>
      </c>
      <c r="I335" s="42"/>
      <c r="J335" s="43"/>
      <c r="K335" s="43">
        <f t="shared" si="11"/>
        <v>25</v>
      </c>
      <c r="L335" s="43"/>
      <c r="M335" s="43"/>
      <c r="N335" s="43"/>
      <c r="O335" s="43"/>
      <c r="P335" s="46">
        <v>25</v>
      </c>
      <c r="Q335" s="47"/>
      <c r="R335" s="40"/>
      <c r="S335" s="42"/>
      <c r="T335" s="41"/>
      <c r="U335" s="41"/>
      <c r="V335" s="48" t="s">
        <v>453</v>
      </c>
      <c r="W335" s="43"/>
      <c r="X335" s="44">
        <v>46196</v>
      </c>
      <c r="Y335" s="41" t="s">
        <v>454</v>
      </c>
      <c r="Z335" s="41"/>
      <c r="AA335" s="41"/>
      <c r="AB335" s="41" t="s">
        <v>937</v>
      </c>
      <c r="AC335" s="49"/>
      <c r="AD335" s="49">
        <v>1212</v>
      </c>
      <c r="AE335" s="50"/>
      <c r="AF335" s="51"/>
      <c r="AG335" s="51"/>
      <c r="AH335" s="52"/>
      <c r="AI335" s="52"/>
      <c r="AJ335" s="53"/>
      <c r="AK335" s="52"/>
      <c r="AL335" s="43">
        <v>18</v>
      </c>
      <c r="AM335" s="168" t="s">
        <v>938</v>
      </c>
      <c r="AN335" s="36"/>
      <c r="AO335" s="36"/>
      <c r="AP335" s="37"/>
    </row>
    <row r="336" spans="1:42" s="102" customFormat="1" ht="18.75" customHeight="1" x14ac:dyDescent="0.25">
      <c r="A336" s="150">
        <v>46196</v>
      </c>
      <c r="B336" s="151">
        <f t="shared" si="10"/>
        <v>46196</v>
      </c>
      <c r="C336" s="152" t="s">
        <v>924</v>
      </c>
      <c r="D336" s="153" t="s">
        <v>87</v>
      </c>
      <c r="E336" s="153">
        <v>160</v>
      </c>
      <c r="F336" s="153">
        <v>6</v>
      </c>
      <c r="G336" s="193">
        <v>20487125921</v>
      </c>
      <c r="H336" s="154" t="s">
        <v>314</v>
      </c>
      <c r="I336" s="155"/>
      <c r="J336" s="156"/>
      <c r="K336" s="156">
        <f t="shared" si="11"/>
        <v>-25</v>
      </c>
      <c r="L336" s="156"/>
      <c r="M336" s="156"/>
      <c r="N336" s="156"/>
      <c r="O336" s="156"/>
      <c r="P336" s="157">
        <v>-25</v>
      </c>
      <c r="Q336" s="158"/>
      <c r="R336" s="151">
        <v>46196</v>
      </c>
      <c r="S336" s="152" t="s">
        <v>85</v>
      </c>
      <c r="T336" s="152" t="s">
        <v>86</v>
      </c>
      <c r="U336" s="152">
        <v>31732</v>
      </c>
      <c r="V336" s="48" t="s">
        <v>453</v>
      </c>
      <c r="W336" s="156"/>
      <c r="X336" s="150">
        <v>46196</v>
      </c>
      <c r="Y336" s="41" t="s">
        <v>454</v>
      </c>
      <c r="Z336" s="152"/>
      <c r="AA336" s="152"/>
      <c r="AB336" s="41" t="s">
        <v>937</v>
      </c>
      <c r="AC336" s="49"/>
      <c r="AD336" s="49">
        <v>1212</v>
      </c>
      <c r="AE336" s="159"/>
      <c r="AF336" s="160"/>
      <c r="AG336" s="160"/>
      <c r="AH336" s="161"/>
      <c r="AI336" s="161"/>
      <c r="AJ336" s="162"/>
      <c r="AK336" s="161"/>
      <c r="AL336" s="43">
        <v>18</v>
      </c>
      <c r="AM336" s="168" t="s">
        <v>938</v>
      </c>
      <c r="AN336" s="100"/>
      <c r="AO336" s="100"/>
      <c r="AP336" s="101"/>
    </row>
    <row r="337" spans="1:42" s="38" customFormat="1" ht="18.75" customHeight="1" x14ac:dyDescent="0.25">
      <c r="A337" s="44">
        <v>46196</v>
      </c>
      <c r="B337" s="40">
        <f t="shared" si="10"/>
        <v>46196</v>
      </c>
      <c r="C337" s="41" t="s">
        <v>85</v>
      </c>
      <c r="D337" s="45" t="s">
        <v>86</v>
      </c>
      <c r="E337" s="45">
        <v>31733</v>
      </c>
      <c r="F337" s="45">
        <v>6</v>
      </c>
      <c r="G337" s="191">
        <v>20487125921</v>
      </c>
      <c r="H337" s="54" t="s">
        <v>314</v>
      </c>
      <c r="I337" s="42"/>
      <c r="J337" s="43"/>
      <c r="K337" s="43">
        <f t="shared" si="11"/>
        <v>25</v>
      </c>
      <c r="L337" s="43"/>
      <c r="M337" s="43"/>
      <c r="N337" s="43"/>
      <c r="O337" s="43"/>
      <c r="P337" s="46">
        <v>25</v>
      </c>
      <c r="Q337" s="47"/>
      <c r="R337" s="40"/>
      <c r="S337" s="42"/>
      <c r="T337" s="41"/>
      <c r="U337" s="41"/>
      <c r="V337" s="48" t="s">
        <v>453</v>
      </c>
      <c r="W337" s="43"/>
      <c r="X337" s="44">
        <v>46196</v>
      </c>
      <c r="Y337" s="41" t="s">
        <v>454</v>
      </c>
      <c r="Z337" s="41"/>
      <c r="AA337" s="41"/>
      <c r="AB337" s="41" t="s">
        <v>937</v>
      </c>
      <c r="AC337" s="49"/>
      <c r="AD337" s="49">
        <v>1212</v>
      </c>
      <c r="AE337" s="50"/>
      <c r="AF337" s="51"/>
      <c r="AG337" s="51"/>
      <c r="AH337" s="52"/>
      <c r="AI337" s="52"/>
      <c r="AJ337" s="53"/>
      <c r="AK337" s="52"/>
      <c r="AL337" s="43">
        <v>18</v>
      </c>
      <c r="AM337" s="168" t="s">
        <v>938</v>
      </c>
      <c r="AN337" s="36"/>
      <c r="AO337" s="36"/>
      <c r="AP337" s="37"/>
    </row>
    <row r="338" spans="1:42" s="38" customFormat="1" ht="18.75" customHeight="1" x14ac:dyDescent="0.25">
      <c r="A338" s="44">
        <v>46196</v>
      </c>
      <c r="B338" s="40">
        <f t="shared" si="10"/>
        <v>46196</v>
      </c>
      <c r="C338" s="41" t="s">
        <v>85</v>
      </c>
      <c r="D338" s="45" t="s">
        <v>86</v>
      </c>
      <c r="E338" s="45">
        <v>31734</v>
      </c>
      <c r="F338" s="45">
        <v>6</v>
      </c>
      <c r="G338" s="191">
        <v>10200544124</v>
      </c>
      <c r="H338" s="54" t="s">
        <v>199</v>
      </c>
      <c r="I338" s="42"/>
      <c r="J338" s="43"/>
      <c r="K338" s="43">
        <f t="shared" si="11"/>
        <v>8</v>
      </c>
      <c r="L338" s="43"/>
      <c r="M338" s="43"/>
      <c r="N338" s="43"/>
      <c r="O338" s="43"/>
      <c r="P338" s="46">
        <v>8</v>
      </c>
      <c r="Q338" s="47"/>
      <c r="R338" s="40"/>
      <c r="S338" s="42"/>
      <c r="T338" s="41"/>
      <c r="U338" s="41"/>
      <c r="V338" s="48" t="s">
        <v>453</v>
      </c>
      <c r="W338" s="43"/>
      <c r="X338" s="44">
        <v>46196</v>
      </c>
      <c r="Y338" s="41" t="s">
        <v>454</v>
      </c>
      <c r="Z338" s="41"/>
      <c r="AA338" s="41"/>
      <c r="AB338" s="41" t="s">
        <v>937</v>
      </c>
      <c r="AC338" s="49"/>
      <c r="AD338" s="49">
        <v>1212</v>
      </c>
      <c r="AE338" s="50"/>
      <c r="AF338" s="51"/>
      <c r="AG338" s="51"/>
      <c r="AH338" s="52"/>
      <c r="AI338" s="52"/>
      <c r="AJ338" s="53"/>
      <c r="AK338" s="52"/>
      <c r="AL338" s="43">
        <v>18</v>
      </c>
      <c r="AM338" s="168" t="s">
        <v>938</v>
      </c>
      <c r="AN338" s="36"/>
      <c r="AO338" s="36"/>
      <c r="AP338" s="37"/>
    </row>
    <row r="339" spans="1:42" s="38" customFormat="1" ht="18.75" customHeight="1" x14ac:dyDescent="0.25">
      <c r="A339" s="44">
        <v>46196</v>
      </c>
      <c r="B339" s="40">
        <f t="shared" si="10"/>
        <v>46196</v>
      </c>
      <c r="C339" s="41" t="s">
        <v>85</v>
      </c>
      <c r="D339" s="45" t="s">
        <v>86</v>
      </c>
      <c r="E339" s="45">
        <v>31735</v>
      </c>
      <c r="F339" s="45">
        <v>6</v>
      </c>
      <c r="G339" s="191">
        <v>20603590687</v>
      </c>
      <c r="H339" s="54" t="s">
        <v>137</v>
      </c>
      <c r="I339" s="42"/>
      <c r="J339" s="43"/>
      <c r="K339" s="43">
        <f t="shared" si="11"/>
        <v>20</v>
      </c>
      <c r="L339" s="43"/>
      <c r="M339" s="43"/>
      <c r="N339" s="43"/>
      <c r="O339" s="43"/>
      <c r="P339" s="46">
        <v>20</v>
      </c>
      <c r="Q339" s="47"/>
      <c r="R339" s="40"/>
      <c r="S339" s="42"/>
      <c r="T339" s="41"/>
      <c r="U339" s="41"/>
      <c r="V339" s="48" t="s">
        <v>453</v>
      </c>
      <c r="W339" s="43"/>
      <c r="X339" s="44">
        <v>46196</v>
      </c>
      <c r="Y339" s="41" t="s">
        <v>454</v>
      </c>
      <c r="Z339" s="41"/>
      <c r="AA339" s="41"/>
      <c r="AB339" s="41" t="s">
        <v>937</v>
      </c>
      <c r="AC339" s="49"/>
      <c r="AD339" s="49">
        <v>1212</v>
      </c>
      <c r="AE339" s="50"/>
      <c r="AF339" s="51"/>
      <c r="AG339" s="51"/>
      <c r="AH339" s="52"/>
      <c r="AI339" s="52"/>
      <c r="AJ339" s="53"/>
      <c r="AK339" s="52"/>
      <c r="AL339" s="43">
        <v>18</v>
      </c>
      <c r="AM339" s="168" t="s">
        <v>938</v>
      </c>
      <c r="AN339" s="36"/>
      <c r="AO339" s="36"/>
      <c r="AP339" s="37"/>
    </row>
    <row r="340" spans="1:42" s="38" customFormat="1" ht="18.75" customHeight="1" x14ac:dyDescent="0.25">
      <c r="A340" s="44">
        <v>46196</v>
      </c>
      <c r="B340" s="40">
        <f t="shared" si="10"/>
        <v>46196</v>
      </c>
      <c r="C340" s="41" t="s">
        <v>85</v>
      </c>
      <c r="D340" s="45" t="s">
        <v>86</v>
      </c>
      <c r="E340" s="45">
        <v>31736</v>
      </c>
      <c r="F340" s="45">
        <v>1</v>
      </c>
      <c r="G340" s="191">
        <v>20434699</v>
      </c>
      <c r="H340" s="54" t="s">
        <v>362</v>
      </c>
      <c r="I340" s="42"/>
      <c r="J340" s="43"/>
      <c r="K340" s="43">
        <f t="shared" si="11"/>
        <v>10</v>
      </c>
      <c r="L340" s="43"/>
      <c r="M340" s="43"/>
      <c r="N340" s="43"/>
      <c r="O340" s="43"/>
      <c r="P340" s="46">
        <v>10</v>
      </c>
      <c r="Q340" s="47"/>
      <c r="R340" s="40"/>
      <c r="S340" s="42"/>
      <c r="T340" s="41"/>
      <c r="U340" s="41"/>
      <c r="V340" s="48" t="s">
        <v>453</v>
      </c>
      <c r="W340" s="43"/>
      <c r="X340" s="44">
        <v>46196</v>
      </c>
      <c r="Y340" s="41" t="s">
        <v>454</v>
      </c>
      <c r="Z340" s="41"/>
      <c r="AA340" s="41"/>
      <c r="AB340" s="41" t="s">
        <v>937</v>
      </c>
      <c r="AC340" s="49"/>
      <c r="AD340" s="49">
        <v>1212</v>
      </c>
      <c r="AE340" s="50"/>
      <c r="AF340" s="51"/>
      <c r="AG340" s="51"/>
      <c r="AH340" s="52"/>
      <c r="AI340" s="52"/>
      <c r="AJ340" s="53"/>
      <c r="AK340" s="52"/>
      <c r="AL340" s="43">
        <v>18</v>
      </c>
      <c r="AM340" s="168" t="s">
        <v>938</v>
      </c>
      <c r="AN340" s="36"/>
      <c r="AO340" s="36"/>
      <c r="AP340" s="37"/>
    </row>
    <row r="341" spans="1:42" s="38" customFormat="1" ht="18.75" customHeight="1" x14ac:dyDescent="0.25">
      <c r="A341" s="44">
        <v>46196</v>
      </c>
      <c r="B341" s="40">
        <f t="shared" si="10"/>
        <v>46196</v>
      </c>
      <c r="C341" s="41" t="s">
        <v>85</v>
      </c>
      <c r="D341" s="45" t="s">
        <v>86</v>
      </c>
      <c r="E341" s="45">
        <v>31737</v>
      </c>
      <c r="F341" s="45">
        <v>1</v>
      </c>
      <c r="G341" s="191">
        <v>20061838</v>
      </c>
      <c r="H341" s="54" t="s">
        <v>363</v>
      </c>
      <c r="I341" s="42"/>
      <c r="J341" s="43"/>
      <c r="K341" s="43">
        <f t="shared" si="11"/>
        <v>7.2</v>
      </c>
      <c r="L341" s="43"/>
      <c r="M341" s="43"/>
      <c r="N341" s="43"/>
      <c r="O341" s="43"/>
      <c r="P341" s="46">
        <v>7.2</v>
      </c>
      <c r="Q341" s="47"/>
      <c r="R341" s="40"/>
      <c r="S341" s="42"/>
      <c r="T341" s="41"/>
      <c r="U341" s="41"/>
      <c r="V341" s="48" t="s">
        <v>453</v>
      </c>
      <c r="W341" s="43"/>
      <c r="X341" s="44">
        <v>46196</v>
      </c>
      <c r="Y341" s="41" t="s">
        <v>454</v>
      </c>
      <c r="Z341" s="41"/>
      <c r="AA341" s="41"/>
      <c r="AB341" s="41" t="s">
        <v>937</v>
      </c>
      <c r="AC341" s="49"/>
      <c r="AD341" s="49">
        <v>1212</v>
      </c>
      <c r="AE341" s="50"/>
      <c r="AF341" s="51"/>
      <c r="AG341" s="51"/>
      <c r="AH341" s="52"/>
      <c r="AI341" s="52"/>
      <c r="AJ341" s="53"/>
      <c r="AK341" s="52"/>
      <c r="AL341" s="43">
        <v>18</v>
      </c>
      <c r="AM341" s="168" t="s">
        <v>938</v>
      </c>
      <c r="AN341" s="36"/>
      <c r="AO341" s="36"/>
      <c r="AP341" s="37"/>
    </row>
    <row r="342" spans="1:42" s="38" customFormat="1" ht="18.75" customHeight="1" x14ac:dyDescent="0.25">
      <c r="A342" s="44">
        <v>46196</v>
      </c>
      <c r="B342" s="40">
        <f t="shared" si="10"/>
        <v>46196</v>
      </c>
      <c r="C342" s="41" t="s">
        <v>85</v>
      </c>
      <c r="D342" s="45" t="s">
        <v>86</v>
      </c>
      <c r="E342" s="45">
        <v>31738</v>
      </c>
      <c r="F342" s="45">
        <v>1</v>
      </c>
      <c r="G342" s="191">
        <v>20431971</v>
      </c>
      <c r="H342" s="54" t="s">
        <v>364</v>
      </c>
      <c r="I342" s="42"/>
      <c r="J342" s="43"/>
      <c r="K342" s="43">
        <f t="shared" si="11"/>
        <v>7.5</v>
      </c>
      <c r="L342" s="43"/>
      <c r="M342" s="43"/>
      <c r="N342" s="43"/>
      <c r="O342" s="43"/>
      <c r="P342" s="46">
        <v>7.5</v>
      </c>
      <c r="Q342" s="47"/>
      <c r="R342" s="40"/>
      <c r="S342" s="42"/>
      <c r="T342" s="41"/>
      <c r="U342" s="41"/>
      <c r="V342" s="48" t="s">
        <v>453</v>
      </c>
      <c r="W342" s="43"/>
      <c r="X342" s="44">
        <v>46196</v>
      </c>
      <c r="Y342" s="41" t="s">
        <v>454</v>
      </c>
      <c r="Z342" s="41"/>
      <c r="AA342" s="41"/>
      <c r="AB342" s="41" t="s">
        <v>937</v>
      </c>
      <c r="AC342" s="49"/>
      <c r="AD342" s="49">
        <v>1212</v>
      </c>
      <c r="AE342" s="50"/>
      <c r="AF342" s="51"/>
      <c r="AG342" s="51"/>
      <c r="AH342" s="52"/>
      <c r="AI342" s="52"/>
      <c r="AJ342" s="53"/>
      <c r="AK342" s="52"/>
      <c r="AL342" s="43">
        <v>18</v>
      </c>
      <c r="AM342" s="168" t="s">
        <v>938</v>
      </c>
      <c r="AN342" s="36"/>
      <c r="AO342" s="36"/>
      <c r="AP342" s="37"/>
    </row>
    <row r="343" spans="1:42" s="38" customFormat="1" ht="18.75" customHeight="1" x14ac:dyDescent="0.25">
      <c r="A343" s="44">
        <v>46196</v>
      </c>
      <c r="B343" s="40">
        <f t="shared" si="10"/>
        <v>46196</v>
      </c>
      <c r="C343" s="41" t="s">
        <v>85</v>
      </c>
      <c r="D343" s="45" t="s">
        <v>86</v>
      </c>
      <c r="E343" s="45">
        <v>31739</v>
      </c>
      <c r="F343" s="45">
        <v>1</v>
      </c>
      <c r="G343" s="191">
        <v>20431971</v>
      </c>
      <c r="H343" s="54" t="s">
        <v>364</v>
      </c>
      <c r="I343" s="42"/>
      <c r="J343" s="43"/>
      <c r="K343" s="43">
        <f t="shared" si="11"/>
        <v>12.5</v>
      </c>
      <c r="L343" s="43"/>
      <c r="M343" s="43"/>
      <c r="N343" s="43"/>
      <c r="O343" s="43"/>
      <c r="P343" s="46">
        <v>12.5</v>
      </c>
      <c r="Q343" s="47"/>
      <c r="R343" s="40"/>
      <c r="S343" s="42"/>
      <c r="T343" s="41"/>
      <c r="U343" s="41"/>
      <c r="V343" s="48" t="s">
        <v>453</v>
      </c>
      <c r="W343" s="43"/>
      <c r="X343" s="44">
        <v>46196</v>
      </c>
      <c r="Y343" s="41" t="s">
        <v>454</v>
      </c>
      <c r="Z343" s="41"/>
      <c r="AA343" s="41"/>
      <c r="AB343" s="41" t="s">
        <v>937</v>
      </c>
      <c r="AC343" s="49"/>
      <c r="AD343" s="49">
        <v>1212</v>
      </c>
      <c r="AE343" s="50"/>
      <c r="AF343" s="51"/>
      <c r="AG343" s="51"/>
      <c r="AH343" s="52"/>
      <c r="AI343" s="52"/>
      <c r="AJ343" s="53"/>
      <c r="AK343" s="52"/>
      <c r="AL343" s="43">
        <v>18</v>
      </c>
      <c r="AM343" s="168" t="s">
        <v>938</v>
      </c>
      <c r="AN343" s="36"/>
      <c r="AO343" s="36"/>
      <c r="AP343" s="37"/>
    </row>
    <row r="344" spans="1:42" s="38" customFormat="1" ht="18.75" customHeight="1" x14ac:dyDescent="0.25">
      <c r="A344" s="44">
        <v>46196</v>
      </c>
      <c r="B344" s="40">
        <f t="shared" si="10"/>
        <v>46196</v>
      </c>
      <c r="C344" s="41" t="s">
        <v>85</v>
      </c>
      <c r="D344" s="45" t="s">
        <v>86</v>
      </c>
      <c r="E344" s="45">
        <v>31740</v>
      </c>
      <c r="F344" s="45">
        <v>1</v>
      </c>
      <c r="G344" s="191">
        <v>71071758</v>
      </c>
      <c r="H344" s="54" t="s">
        <v>266</v>
      </c>
      <c r="I344" s="42"/>
      <c r="J344" s="43"/>
      <c r="K344" s="43">
        <f t="shared" si="11"/>
        <v>10</v>
      </c>
      <c r="L344" s="43"/>
      <c r="M344" s="43"/>
      <c r="N344" s="43"/>
      <c r="O344" s="43"/>
      <c r="P344" s="46">
        <v>10</v>
      </c>
      <c r="Q344" s="47"/>
      <c r="R344" s="40"/>
      <c r="S344" s="42"/>
      <c r="T344" s="41"/>
      <c r="U344" s="41"/>
      <c r="V344" s="48" t="s">
        <v>453</v>
      </c>
      <c r="W344" s="43"/>
      <c r="X344" s="44">
        <v>46196</v>
      </c>
      <c r="Y344" s="41" t="s">
        <v>454</v>
      </c>
      <c r="Z344" s="41"/>
      <c r="AA344" s="41"/>
      <c r="AB344" s="41" t="s">
        <v>937</v>
      </c>
      <c r="AC344" s="49"/>
      <c r="AD344" s="49">
        <v>1212</v>
      </c>
      <c r="AE344" s="50"/>
      <c r="AF344" s="51"/>
      <c r="AG344" s="51"/>
      <c r="AH344" s="52"/>
      <c r="AI344" s="52"/>
      <c r="AJ344" s="53"/>
      <c r="AK344" s="52"/>
      <c r="AL344" s="43">
        <v>18</v>
      </c>
      <c r="AM344" s="168" t="s">
        <v>938</v>
      </c>
      <c r="AN344" s="36"/>
      <c r="AO344" s="36"/>
      <c r="AP344" s="37"/>
    </row>
    <row r="345" spans="1:42" s="38" customFormat="1" ht="18.75" customHeight="1" x14ac:dyDescent="0.25">
      <c r="A345" s="44">
        <v>46196</v>
      </c>
      <c r="B345" s="40">
        <f t="shared" si="10"/>
        <v>46196</v>
      </c>
      <c r="C345" s="41" t="s">
        <v>85</v>
      </c>
      <c r="D345" s="45" t="s">
        <v>86</v>
      </c>
      <c r="E345" s="45">
        <v>31741</v>
      </c>
      <c r="F345" s="45">
        <v>1</v>
      </c>
      <c r="G345" s="191">
        <v>46203688</v>
      </c>
      <c r="H345" s="54" t="s">
        <v>365</v>
      </c>
      <c r="I345" s="42"/>
      <c r="J345" s="43"/>
      <c r="K345" s="43">
        <f t="shared" si="11"/>
        <v>10</v>
      </c>
      <c r="L345" s="43"/>
      <c r="M345" s="43"/>
      <c r="N345" s="43"/>
      <c r="O345" s="43"/>
      <c r="P345" s="46">
        <v>10</v>
      </c>
      <c r="Q345" s="47"/>
      <c r="R345" s="40"/>
      <c r="S345" s="42"/>
      <c r="T345" s="41"/>
      <c r="U345" s="41"/>
      <c r="V345" s="48" t="s">
        <v>453</v>
      </c>
      <c r="W345" s="43"/>
      <c r="X345" s="44">
        <v>46196</v>
      </c>
      <c r="Y345" s="41" t="s">
        <v>454</v>
      </c>
      <c r="Z345" s="41"/>
      <c r="AA345" s="41"/>
      <c r="AB345" s="41" t="s">
        <v>937</v>
      </c>
      <c r="AC345" s="49"/>
      <c r="AD345" s="49">
        <v>1212</v>
      </c>
      <c r="AE345" s="50"/>
      <c r="AF345" s="51"/>
      <c r="AG345" s="51"/>
      <c r="AH345" s="52"/>
      <c r="AI345" s="52"/>
      <c r="AJ345" s="53"/>
      <c r="AK345" s="52"/>
      <c r="AL345" s="43">
        <v>18</v>
      </c>
      <c r="AM345" s="168" t="s">
        <v>938</v>
      </c>
      <c r="AN345" s="36"/>
      <c r="AO345" s="36"/>
      <c r="AP345" s="37"/>
    </row>
    <row r="346" spans="1:42" s="38" customFormat="1" ht="18.75" customHeight="1" x14ac:dyDescent="0.25">
      <c r="A346" s="44">
        <v>46196</v>
      </c>
      <c r="B346" s="40">
        <f t="shared" si="10"/>
        <v>46196</v>
      </c>
      <c r="C346" s="41" t="s">
        <v>85</v>
      </c>
      <c r="D346" s="45" t="s">
        <v>86</v>
      </c>
      <c r="E346" s="45">
        <v>31742</v>
      </c>
      <c r="F346" s="45">
        <v>1</v>
      </c>
      <c r="G346" s="191">
        <v>70020791</v>
      </c>
      <c r="H346" s="54" t="s">
        <v>366</v>
      </c>
      <c r="I346" s="42"/>
      <c r="J346" s="43"/>
      <c r="K346" s="43">
        <f t="shared" si="11"/>
        <v>14.7</v>
      </c>
      <c r="L346" s="43"/>
      <c r="M346" s="43"/>
      <c r="N346" s="43"/>
      <c r="O346" s="43"/>
      <c r="P346" s="46">
        <v>14.7</v>
      </c>
      <c r="Q346" s="47"/>
      <c r="R346" s="40"/>
      <c r="S346" s="42"/>
      <c r="T346" s="41"/>
      <c r="U346" s="41"/>
      <c r="V346" s="48" t="s">
        <v>453</v>
      </c>
      <c r="W346" s="43"/>
      <c r="X346" s="44">
        <v>46196</v>
      </c>
      <c r="Y346" s="41" t="s">
        <v>454</v>
      </c>
      <c r="Z346" s="41"/>
      <c r="AA346" s="41"/>
      <c r="AB346" s="41" t="s">
        <v>937</v>
      </c>
      <c r="AC346" s="49"/>
      <c r="AD346" s="49">
        <v>1212</v>
      </c>
      <c r="AE346" s="50"/>
      <c r="AF346" s="51"/>
      <c r="AG346" s="51"/>
      <c r="AH346" s="52"/>
      <c r="AI346" s="52"/>
      <c r="AJ346" s="53"/>
      <c r="AK346" s="52"/>
      <c r="AL346" s="43">
        <v>18</v>
      </c>
      <c r="AM346" s="168" t="s">
        <v>938</v>
      </c>
      <c r="AN346" s="36"/>
      <c r="AO346" s="36"/>
      <c r="AP346" s="37"/>
    </row>
    <row r="347" spans="1:42" s="38" customFormat="1" ht="18.75" customHeight="1" x14ac:dyDescent="0.25">
      <c r="A347" s="44">
        <v>46196</v>
      </c>
      <c r="B347" s="40">
        <f t="shared" si="10"/>
        <v>46196</v>
      </c>
      <c r="C347" s="41" t="s">
        <v>85</v>
      </c>
      <c r="D347" s="45" t="s">
        <v>86</v>
      </c>
      <c r="E347" s="45">
        <v>31743</v>
      </c>
      <c r="F347" s="45">
        <v>1</v>
      </c>
      <c r="G347" s="191">
        <v>41273859</v>
      </c>
      <c r="H347" s="54" t="s">
        <v>367</v>
      </c>
      <c r="I347" s="42"/>
      <c r="J347" s="43"/>
      <c r="K347" s="43">
        <f t="shared" si="11"/>
        <v>8.1999999999999993</v>
      </c>
      <c r="L347" s="43"/>
      <c r="M347" s="43"/>
      <c r="N347" s="43"/>
      <c r="O347" s="43"/>
      <c r="P347" s="46">
        <v>8.1999999999999993</v>
      </c>
      <c r="Q347" s="47"/>
      <c r="R347" s="40"/>
      <c r="S347" s="42"/>
      <c r="T347" s="41"/>
      <c r="U347" s="41"/>
      <c r="V347" s="48" t="s">
        <v>453</v>
      </c>
      <c r="W347" s="43"/>
      <c r="X347" s="44">
        <v>46196</v>
      </c>
      <c r="Y347" s="41" t="s">
        <v>454</v>
      </c>
      <c r="Z347" s="41"/>
      <c r="AA347" s="41"/>
      <c r="AB347" s="41" t="s">
        <v>937</v>
      </c>
      <c r="AC347" s="49"/>
      <c r="AD347" s="49">
        <v>1212</v>
      </c>
      <c r="AE347" s="50"/>
      <c r="AF347" s="51"/>
      <c r="AG347" s="51"/>
      <c r="AH347" s="52"/>
      <c r="AI347" s="52"/>
      <c r="AJ347" s="53"/>
      <c r="AK347" s="52"/>
      <c r="AL347" s="43">
        <v>18</v>
      </c>
      <c r="AM347" s="168" t="s">
        <v>938</v>
      </c>
      <c r="AN347" s="36"/>
      <c r="AO347" s="36"/>
      <c r="AP347" s="37"/>
    </row>
    <row r="348" spans="1:42" s="38" customFormat="1" ht="18.75" customHeight="1" x14ac:dyDescent="0.25">
      <c r="A348" s="44">
        <v>46196</v>
      </c>
      <c r="B348" s="40">
        <f t="shared" si="10"/>
        <v>46196</v>
      </c>
      <c r="C348" s="41" t="s">
        <v>85</v>
      </c>
      <c r="D348" s="45" t="s">
        <v>86</v>
      </c>
      <c r="E348" s="45">
        <v>31744</v>
      </c>
      <c r="F348" s="45">
        <v>1</v>
      </c>
      <c r="G348" s="191">
        <v>41227950</v>
      </c>
      <c r="H348" s="54" t="s">
        <v>368</v>
      </c>
      <c r="I348" s="42"/>
      <c r="J348" s="43"/>
      <c r="K348" s="43">
        <f t="shared" si="11"/>
        <v>9</v>
      </c>
      <c r="L348" s="43"/>
      <c r="M348" s="43"/>
      <c r="N348" s="43"/>
      <c r="O348" s="43"/>
      <c r="P348" s="46">
        <v>9</v>
      </c>
      <c r="Q348" s="47"/>
      <c r="R348" s="40"/>
      <c r="S348" s="42"/>
      <c r="T348" s="41"/>
      <c r="U348" s="41"/>
      <c r="V348" s="48" t="s">
        <v>453</v>
      </c>
      <c r="W348" s="43"/>
      <c r="X348" s="44">
        <v>46196</v>
      </c>
      <c r="Y348" s="41" t="s">
        <v>454</v>
      </c>
      <c r="Z348" s="41"/>
      <c r="AA348" s="41"/>
      <c r="AB348" s="41" t="s">
        <v>937</v>
      </c>
      <c r="AC348" s="49"/>
      <c r="AD348" s="49">
        <v>1212</v>
      </c>
      <c r="AE348" s="50"/>
      <c r="AF348" s="51"/>
      <c r="AG348" s="51"/>
      <c r="AH348" s="52"/>
      <c r="AI348" s="52"/>
      <c r="AJ348" s="53"/>
      <c r="AK348" s="52"/>
      <c r="AL348" s="43">
        <v>18</v>
      </c>
      <c r="AM348" s="168" t="s">
        <v>938</v>
      </c>
      <c r="AN348" s="36"/>
      <c r="AO348" s="36"/>
      <c r="AP348" s="37"/>
    </row>
    <row r="349" spans="1:42" s="38" customFormat="1" ht="18.75" customHeight="1" x14ac:dyDescent="0.25">
      <c r="A349" s="44">
        <v>46196</v>
      </c>
      <c r="B349" s="40">
        <f t="shared" si="10"/>
        <v>46196</v>
      </c>
      <c r="C349" s="41" t="s">
        <v>85</v>
      </c>
      <c r="D349" s="45" t="s">
        <v>86</v>
      </c>
      <c r="E349" s="45">
        <v>31745</v>
      </c>
      <c r="F349" s="45">
        <v>1</v>
      </c>
      <c r="G349" s="191">
        <v>43604619</v>
      </c>
      <c r="H349" s="54" t="s">
        <v>369</v>
      </c>
      <c r="I349" s="42"/>
      <c r="J349" s="43"/>
      <c r="K349" s="43">
        <f t="shared" si="11"/>
        <v>26.7</v>
      </c>
      <c r="L349" s="43"/>
      <c r="M349" s="43"/>
      <c r="N349" s="43"/>
      <c r="O349" s="43"/>
      <c r="P349" s="46">
        <v>26.7</v>
      </c>
      <c r="Q349" s="47"/>
      <c r="R349" s="40"/>
      <c r="S349" s="42"/>
      <c r="T349" s="41"/>
      <c r="U349" s="41"/>
      <c r="V349" s="48" t="s">
        <v>453</v>
      </c>
      <c r="W349" s="43"/>
      <c r="X349" s="44">
        <v>46196</v>
      </c>
      <c r="Y349" s="41" t="s">
        <v>454</v>
      </c>
      <c r="Z349" s="41"/>
      <c r="AA349" s="41"/>
      <c r="AB349" s="41" t="s">
        <v>937</v>
      </c>
      <c r="AC349" s="49"/>
      <c r="AD349" s="49">
        <v>1212</v>
      </c>
      <c r="AE349" s="50"/>
      <c r="AF349" s="51"/>
      <c r="AG349" s="51"/>
      <c r="AH349" s="52"/>
      <c r="AI349" s="52"/>
      <c r="AJ349" s="53"/>
      <c r="AK349" s="52"/>
      <c r="AL349" s="43">
        <v>18</v>
      </c>
      <c r="AM349" s="168" t="s">
        <v>938</v>
      </c>
      <c r="AN349" s="36"/>
      <c r="AO349" s="36"/>
      <c r="AP349" s="37"/>
    </row>
    <row r="350" spans="1:42" s="38" customFormat="1" ht="18.75" customHeight="1" x14ac:dyDescent="0.25">
      <c r="A350" s="44">
        <v>46196</v>
      </c>
      <c r="B350" s="40">
        <f t="shared" si="10"/>
        <v>46196</v>
      </c>
      <c r="C350" s="41" t="s">
        <v>85</v>
      </c>
      <c r="D350" s="45" t="s">
        <v>86</v>
      </c>
      <c r="E350" s="45">
        <v>31746</v>
      </c>
      <c r="F350" s="45">
        <v>1</v>
      </c>
      <c r="G350" s="191">
        <v>73766061</v>
      </c>
      <c r="H350" s="54" t="s">
        <v>370</v>
      </c>
      <c r="I350" s="42"/>
      <c r="J350" s="43"/>
      <c r="K350" s="43">
        <f t="shared" si="11"/>
        <v>8.5</v>
      </c>
      <c r="L350" s="43"/>
      <c r="M350" s="43"/>
      <c r="N350" s="43"/>
      <c r="O350" s="43"/>
      <c r="P350" s="46">
        <v>8.5</v>
      </c>
      <c r="Q350" s="47"/>
      <c r="R350" s="40"/>
      <c r="S350" s="42"/>
      <c r="T350" s="41"/>
      <c r="U350" s="41"/>
      <c r="V350" s="48" t="s">
        <v>453</v>
      </c>
      <c r="W350" s="43"/>
      <c r="X350" s="44">
        <v>46196</v>
      </c>
      <c r="Y350" s="41" t="s">
        <v>454</v>
      </c>
      <c r="Z350" s="41"/>
      <c r="AA350" s="41"/>
      <c r="AB350" s="41" t="s">
        <v>937</v>
      </c>
      <c r="AC350" s="49"/>
      <c r="AD350" s="49">
        <v>1212</v>
      </c>
      <c r="AE350" s="50"/>
      <c r="AF350" s="51"/>
      <c r="AG350" s="51"/>
      <c r="AH350" s="52"/>
      <c r="AI350" s="52"/>
      <c r="AJ350" s="53"/>
      <c r="AK350" s="52"/>
      <c r="AL350" s="43">
        <v>18</v>
      </c>
      <c r="AM350" s="168" t="s">
        <v>938</v>
      </c>
      <c r="AN350" s="36"/>
      <c r="AO350" s="36"/>
      <c r="AP350" s="37"/>
    </row>
    <row r="351" spans="1:42" s="38" customFormat="1" ht="18.75" customHeight="1" x14ac:dyDescent="0.25">
      <c r="A351" s="44">
        <v>46196</v>
      </c>
      <c r="B351" s="40">
        <f t="shared" si="10"/>
        <v>46196</v>
      </c>
      <c r="C351" s="41" t="s">
        <v>85</v>
      </c>
      <c r="D351" s="45" t="s">
        <v>86</v>
      </c>
      <c r="E351" s="45">
        <v>31747</v>
      </c>
      <c r="F351" s="45">
        <v>1</v>
      </c>
      <c r="G351" s="191">
        <v>19986854</v>
      </c>
      <c r="H351" s="54" t="s">
        <v>371</v>
      </c>
      <c r="I351" s="42"/>
      <c r="J351" s="43"/>
      <c r="K351" s="43">
        <f t="shared" si="11"/>
        <v>11.5</v>
      </c>
      <c r="L351" s="43"/>
      <c r="M351" s="43"/>
      <c r="N351" s="43"/>
      <c r="O351" s="43"/>
      <c r="P351" s="46">
        <v>11.5</v>
      </c>
      <c r="Q351" s="47"/>
      <c r="R351" s="40"/>
      <c r="S351" s="42"/>
      <c r="T351" s="41"/>
      <c r="U351" s="41"/>
      <c r="V351" s="48" t="s">
        <v>453</v>
      </c>
      <c r="W351" s="43"/>
      <c r="X351" s="44">
        <v>46196</v>
      </c>
      <c r="Y351" s="41" t="s">
        <v>454</v>
      </c>
      <c r="Z351" s="41"/>
      <c r="AA351" s="41"/>
      <c r="AB351" s="41" t="s">
        <v>937</v>
      </c>
      <c r="AC351" s="49"/>
      <c r="AD351" s="49">
        <v>1212</v>
      </c>
      <c r="AE351" s="50"/>
      <c r="AF351" s="51"/>
      <c r="AG351" s="51"/>
      <c r="AH351" s="52"/>
      <c r="AI351" s="52"/>
      <c r="AJ351" s="53"/>
      <c r="AK351" s="52"/>
      <c r="AL351" s="43">
        <v>18</v>
      </c>
      <c r="AM351" s="168" t="s">
        <v>938</v>
      </c>
      <c r="AN351" s="36"/>
      <c r="AO351" s="36"/>
      <c r="AP351" s="37"/>
    </row>
    <row r="352" spans="1:42" s="38" customFormat="1" ht="18.75" customHeight="1" x14ac:dyDescent="0.25">
      <c r="A352" s="44">
        <v>46196</v>
      </c>
      <c r="B352" s="40">
        <f t="shared" si="10"/>
        <v>46196</v>
      </c>
      <c r="C352" s="41" t="s">
        <v>85</v>
      </c>
      <c r="D352" s="45" t="s">
        <v>86</v>
      </c>
      <c r="E352" s="45">
        <v>31748</v>
      </c>
      <c r="F352" s="45">
        <v>1</v>
      </c>
      <c r="G352" s="191">
        <v>20012728</v>
      </c>
      <c r="H352" s="54" t="s">
        <v>372</v>
      </c>
      <c r="I352" s="42"/>
      <c r="J352" s="43"/>
      <c r="K352" s="43">
        <f t="shared" si="11"/>
        <v>10</v>
      </c>
      <c r="L352" s="43"/>
      <c r="M352" s="43"/>
      <c r="N352" s="43"/>
      <c r="O352" s="43"/>
      <c r="P352" s="46">
        <v>10</v>
      </c>
      <c r="Q352" s="47"/>
      <c r="R352" s="40"/>
      <c r="S352" s="42"/>
      <c r="T352" s="41"/>
      <c r="U352" s="41"/>
      <c r="V352" s="48" t="s">
        <v>453</v>
      </c>
      <c r="W352" s="43"/>
      <c r="X352" s="44">
        <v>46196</v>
      </c>
      <c r="Y352" s="41" t="s">
        <v>454</v>
      </c>
      <c r="Z352" s="41"/>
      <c r="AA352" s="41"/>
      <c r="AB352" s="41" t="s">
        <v>937</v>
      </c>
      <c r="AC352" s="49"/>
      <c r="AD352" s="49">
        <v>1212</v>
      </c>
      <c r="AE352" s="50"/>
      <c r="AF352" s="51"/>
      <c r="AG352" s="51"/>
      <c r="AH352" s="52"/>
      <c r="AI352" s="52"/>
      <c r="AJ352" s="53"/>
      <c r="AK352" s="52"/>
      <c r="AL352" s="43">
        <v>18</v>
      </c>
      <c r="AM352" s="168" t="s">
        <v>938</v>
      </c>
      <c r="AN352" s="36"/>
      <c r="AO352" s="36"/>
      <c r="AP352" s="37"/>
    </row>
    <row r="353" spans="1:42" s="38" customFormat="1" ht="18.75" customHeight="1" x14ac:dyDescent="0.25">
      <c r="A353" s="44">
        <v>46196</v>
      </c>
      <c r="B353" s="40">
        <f t="shared" si="10"/>
        <v>46196</v>
      </c>
      <c r="C353" s="41" t="s">
        <v>85</v>
      </c>
      <c r="D353" s="45" t="s">
        <v>86</v>
      </c>
      <c r="E353" s="45">
        <v>31749</v>
      </c>
      <c r="F353" s="45">
        <v>1</v>
      </c>
      <c r="G353" s="191">
        <v>47483246</v>
      </c>
      <c r="H353" s="54" t="s">
        <v>373</v>
      </c>
      <c r="I353" s="42"/>
      <c r="J353" s="43"/>
      <c r="K353" s="43">
        <f t="shared" si="11"/>
        <v>10</v>
      </c>
      <c r="L353" s="43"/>
      <c r="M353" s="43"/>
      <c r="N353" s="43"/>
      <c r="O353" s="43"/>
      <c r="P353" s="46">
        <v>10</v>
      </c>
      <c r="Q353" s="47"/>
      <c r="R353" s="40"/>
      <c r="S353" s="42"/>
      <c r="T353" s="41"/>
      <c r="U353" s="41"/>
      <c r="V353" s="48" t="s">
        <v>453</v>
      </c>
      <c r="W353" s="43"/>
      <c r="X353" s="44">
        <v>46196</v>
      </c>
      <c r="Y353" s="41" t="s">
        <v>454</v>
      </c>
      <c r="Z353" s="41"/>
      <c r="AA353" s="41"/>
      <c r="AB353" s="41" t="s">
        <v>937</v>
      </c>
      <c r="AC353" s="49"/>
      <c r="AD353" s="49">
        <v>1212</v>
      </c>
      <c r="AE353" s="50"/>
      <c r="AF353" s="51"/>
      <c r="AG353" s="51"/>
      <c r="AH353" s="52"/>
      <c r="AI353" s="52"/>
      <c r="AJ353" s="53"/>
      <c r="AK353" s="52"/>
      <c r="AL353" s="43">
        <v>18</v>
      </c>
      <c r="AM353" s="168" t="s">
        <v>938</v>
      </c>
      <c r="AN353" s="36"/>
      <c r="AO353" s="36"/>
      <c r="AP353" s="37"/>
    </row>
    <row r="354" spans="1:42" s="38" customFormat="1" ht="18.75" customHeight="1" x14ac:dyDescent="0.25">
      <c r="A354" s="44">
        <v>46196</v>
      </c>
      <c r="B354" s="40">
        <f t="shared" si="10"/>
        <v>46196</v>
      </c>
      <c r="C354" s="41" t="s">
        <v>85</v>
      </c>
      <c r="D354" s="45" t="s">
        <v>86</v>
      </c>
      <c r="E354" s="45">
        <v>31750</v>
      </c>
      <c r="F354" s="45">
        <v>1</v>
      </c>
      <c r="G354" s="191">
        <v>20403597</v>
      </c>
      <c r="H354" s="54" t="s">
        <v>374</v>
      </c>
      <c r="I354" s="42"/>
      <c r="J354" s="43"/>
      <c r="K354" s="43">
        <f t="shared" si="11"/>
        <v>22.5</v>
      </c>
      <c r="L354" s="43"/>
      <c r="M354" s="43"/>
      <c r="N354" s="43"/>
      <c r="O354" s="43"/>
      <c r="P354" s="46">
        <v>22.5</v>
      </c>
      <c r="Q354" s="47"/>
      <c r="R354" s="40"/>
      <c r="S354" s="42"/>
      <c r="T354" s="41"/>
      <c r="U354" s="41"/>
      <c r="V354" s="48" t="s">
        <v>453</v>
      </c>
      <c r="W354" s="43"/>
      <c r="X354" s="44">
        <v>46196</v>
      </c>
      <c r="Y354" s="41" t="s">
        <v>454</v>
      </c>
      <c r="Z354" s="41"/>
      <c r="AA354" s="41"/>
      <c r="AB354" s="41" t="s">
        <v>937</v>
      </c>
      <c r="AC354" s="49"/>
      <c r="AD354" s="49">
        <v>1212</v>
      </c>
      <c r="AE354" s="50"/>
      <c r="AF354" s="51"/>
      <c r="AG354" s="51"/>
      <c r="AH354" s="52"/>
      <c r="AI354" s="52"/>
      <c r="AJ354" s="53"/>
      <c r="AK354" s="52"/>
      <c r="AL354" s="43">
        <v>18</v>
      </c>
      <c r="AM354" s="168" t="s">
        <v>938</v>
      </c>
      <c r="AN354" s="36"/>
      <c r="AO354" s="36"/>
      <c r="AP354" s="37"/>
    </row>
    <row r="355" spans="1:42" s="38" customFormat="1" ht="18.75" customHeight="1" x14ac:dyDescent="0.25">
      <c r="A355" s="44">
        <v>46196</v>
      </c>
      <c r="B355" s="40">
        <f t="shared" si="10"/>
        <v>46196</v>
      </c>
      <c r="C355" s="41" t="s">
        <v>85</v>
      </c>
      <c r="D355" s="45" t="s">
        <v>86</v>
      </c>
      <c r="E355" s="45">
        <v>31751</v>
      </c>
      <c r="F355" s="45">
        <v>1</v>
      </c>
      <c r="G355" s="191">
        <v>20121604</v>
      </c>
      <c r="H355" s="54" t="s">
        <v>375</v>
      </c>
      <c r="I355" s="42"/>
      <c r="J355" s="43"/>
      <c r="K355" s="43">
        <f t="shared" si="11"/>
        <v>190.6</v>
      </c>
      <c r="L355" s="43"/>
      <c r="M355" s="43"/>
      <c r="N355" s="43"/>
      <c r="O355" s="43"/>
      <c r="P355" s="46">
        <v>190.6</v>
      </c>
      <c r="Q355" s="47"/>
      <c r="R355" s="40"/>
      <c r="S355" s="42"/>
      <c r="T355" s="41"/>
      <c r="U355" s="41"/>
      <c r="V355" s="48" t="s">
        <v>453</v>
      </c>
      <c r="W355" s="43"/>
      <c r="X355" s="44">
        <v>46196</v>
      </c>
      <c r="Y355" s="41" t="s">
        <v>454</v>
      </c>
      <c r="Z355" s="41"/>
      <c r="AA355" s="41"/>
      <c r="AB355" s="41" t="s">
        <v>937</v>
      </c>
      <c r="AC355" s="49"/>
      <c r="AD355" s="49">
        <v>1212</v>
      </c>
      <c r="AE355" s="50"/>
      <c r="AF355" s="51"/>
      <c r="AG355" s="51"/>
      <c r="AH355" s="52"/>
      <c r="AI355" s="52"/>
      <c r="AJ355" s="53"/>
      <c r="AK355" s="52"/>
      <c r="AL355" s="43">
        <v>18</v>
      </c>
      <c r="AM355" s="168" t="s">
        <v>938</v>
      </c>
      <c r="AN355" s="36"/>
      <c r="AO355" s="36"/>
      <c r="AP355" s="37"/>
    </row>
    <row r="356" spans="1:42" s="38" customFormat="1" ht="18.75" customHeight="1" x14ac:dyDescent="0.25">
      <c r="A356" s="44">
        <v>46196</v>
      </c>
      <c r="B356" s="40">
        <f t="shared" si="10"/>
        <v>46196</v>
      </c>
      <c r="C356" s="41" t="s">
        <v>85</v>
      </c>
      <c r="D356" s="45" t="s">
        <v>86</v>
      </c>
      <c r="E356" s="45">
        <v>31752</v>
      </c>
      <c r="F356" s="45">
        <v>1</v>
      </c>
      <c r="G356" s="191">
        <v>20893631</v>
      </c>
      <c r="H356" s="54" t="s">
        <v>376</v>
      </c>
      <c r="I356" s="42"/>
      <c r="J356" s="43"/>
      <c r="K356" s="43">
        <f t="shared" si="11"/>
        <v>11</v>
      </c>
      <c r="L356" s="43"/>
      <c r="M356" s="43"/>
      <c r="N356" s="43"/>
      <c r="O356" s="43"/>
      <c r="P356" s="46">
        <v>11</v>
      </c>
      <c r="Q356" s="47"/>
      <c r="R356" s="40"/>
      <c r="S356" s="42"/>
      <c r="T356" s="41"/>
      <c r="U356" s="41"/>
      <c r="V356" s="48" t="s">
        <v>453</v>
      </c>
      <c r="W356" s="43"/>
      <c r="X356" s="44">
        <v>46196</v>
      </c>
      <c r="Y356" s="41" t="s">
        <v>454</v>
      </c>
      <c r="Z356" s="41"/>
      <c r="AA356" s="41"/>
      <c r="AB356" s="41" t="s">
        <v>937</v>
      </c>
      <c r="AC356" s="49"/>
      <c r="AD356" s="49">
        <v>1212</v>
      </c>
      <c r="AE356" s="50"/>
      <c r="AF356" s="51"/>
      <c r="AG356" s="51"/>
      <c r="AH356" s="52"/>
      <c r="AI356" s="52"/>
      <c r="AJ356" s="53"/>
      <c r="AK356" s="52"/>
      <c r="AL356" s="43">
        <v>18</v>
      </c>
      <c r="AM356" s="168" t="s">
        <v>938</v>
      </c>
      <c r="AN356" s="36"/>
      <c r="AO356" s="36"/>
      <c r="AP356" s="37"/>
    </row>
    <row r="357" spans="1:42" s="38" customFormat="1" ht="18.75" customHeight="1" x14ac:dyDescent="0.25">
      <c r="A357" s="44">
        <v>46196</v>
      </c>
      <c r="B357" s="40">
        <f t="shared" si="10"/>
        <v>46196</v>
      </c>
      <c r="C357" s="41" t="s">
        <v>85</v>
      </c>
      <c r="D357" s="45" t="s">
        <v>86</v>
      </c>
      <c r="E357" s="45">
        <v>31753</v>
      </c>
      <c r="F357" s="45">
        <v>1</v>
      </c>
      <c r="G357" s="191">
        <v>42976904</v>
      </c>
      <c r="H357" s="54" t="s">
        <v>377</v>
      </c>
      <c r="I357" s="42"/>
      <c r="J357" s="43"/>
      <c r="K357" s="43">
        <f t="shared" si="11"/>
        <v>44.7</v>
      </c>
      <c r="L357" s="43"/>
      <c r="M357" s="43"/>
      <c r="N357" s="43"/>
      <c r="O357" s="43"/>
      <c r="P357" s="46">
        <v>44.7</v>
      </c>
      <c r="Q357" s="47"/>
      <c r="R357" s="40"/>
      <c r="S357" s="42"/>
      <c r="T357" s="41"/>
      <c r="U357" s="41"/>
      <c r="V357" s="48" t="s">
        <v>453</v>
      </c>
      <c r="W357" s="43"/>
      <c r="X357" s="44">
        <v>46196</v>
      </c>
      <c r="Y357" s="41" t="s">
        <v>454</v>
      </c>
      <c r="Z357" s="41"/>
      <c r="AA357" s="41"/>
      <c r="AB357" s="41" t="s">
        <v>937</v>
      </c>
      <c r="AC357" s="49"/>
      <c r="AD357" s="49">
        <v>1212</v>
      </c>
      <c r="AE357" s="50"/>
      <c r="AF357" s="51"/>
      <c r="AG357" s="51"/>
      <c r="AH357" s="52"/>
      <c r="AI357" s="52"/>
      <c r="AJ357" s="53"/>
      <c r="AK357" s="52"/>
      <c r="AL357" s="43">
        <v>18</v>
      </c>
      <c r="AM357" s="168" t="s">
        <v>938</v>
      </c>
      <c r="AN357" s="36"/>
      <c r="AO357" s="36"/>
      <c r="AP357" s="37"/>
    </row>
    <row r="358" spans="1:42" s="38" customFormat="1" ht="18.75" customHeight="1" x14ac:dyDescent="0.25">
      <c r="A358" s="44">
        <v>46197</v>
      </c>
      <c r="B358" s="40">
        <f t="shared" si="10"/>
        <v>46197</v>
      </c>
      <c r="C358" s="41" t="s">
        <v>85</v>
      </c>
      <c r="D358" s="45" t="s">
        <v>86</v>
      </c>
      <c r="E358" s="45">
        <v>31754</v>
      </c>
      <c r="F358" s="45">
        <v>6</v>
      </c>
      <c r="G358" s="191">
        <v>20603590687</v>
      </c>
      <c r="H358" s="54" t="s">
        <v>137</v>
      </c>
      <c r="I358" s="42"/>
      <c r="J358" s="43"/>
      <c r="K358" s="43">
        <f t="shared" si="11"/>
        <v>20</v>
      </c>
      <c r="L358" s="43"/>
      <c r="M358" s="43"/>
      <c r="N358" s="43"/>
      <c r="O358" s="43"/>
      <c r="P358" s="46">
        <v>20</v>
      </c>
      <c r="Q358" s="47"/>
      <c r="R358" s="40"/>
      <c r="S358" s="42"/>
      <c r="T358" s="41"/>
      <c r="U358" s="41"/>
      <c r="V358" s="48" t="s">
        <v>453</v>
      </c>
      <c r="W358" s="43"/>
      <c r="X358" s="44">
        <v>46197</v>
      </c>
      <c r="Y358" s="41" t="s">
        <v>454</v>
      </c>
      <c r="Z358" s="41"/>
      <c r="AA358" s="41"/>
      <c r="AB358" s="41" t="s">
        <v>937</v>
      </c>
      <c r="AC358" s="49"/>
      <c r="AD358" s="49">
        <v>1212</v>
      </c>
      <c r="AE358" s="50"/>
      <c r="AF358" s="51"/>
      <c r="AG358" s="51"/>
      <c r="AH358" s="52"/>
      <c r="AI358" s="52"/>
      <c r="AJ358" s="53"/>
      <c r="AK358" s="52"/>
      <c r="AL358" s="43">
        <v>18</v>
      </c>
      <c r="AM358" s="168" t="s">
        <v>938</v>
      </c>
      <c r="AN358" s="36"/>
      <c r="AO358" s="36"/>
      <c r="AP358" s="37"/>
    </row>
    <row r="359" spans="1:42" s="38" customFormat="1" ht="18.75" customHeight="1" x14ac:dyDescent="0.25">
      <c r="A359" s="44">
        <v>46197</v>
      </c>
      <c r="B359" s="40">
        <f t="shared" si="10"/>
        <v>46197</v>
      </c>
      <c r="C359" s="41" t="s">
        <v>85</v>
      </c>
      <c r="D359" s="45" t="s">
        <v>86</v>
      </c>
      <c r="E359" s="45">
        <v>31755</v>
      </c>
      <c r="F359" s="45">
        <v>1</v>
      </c>
      <c r="G359" s="191">
        <v>20097756</v>
      </c>
      <c r="H359" s="54" t="s">
        <v>378</v>
      </c>
      <c r="I359" s="42"/>
      <c r="J359" s="43"/>
      <c r="K359" s="43">
        <f t="shared" si="11"/>
        <v>375</v>
      </c>
      <c r="L359" s="43"/>
      <c r="M359" s="43"/>
      <c r="N359" s="43"/>
      <c r="O359" s="43"/>
      <c r="P359" s="46">
        <v>375</v>
      </c>
      <c r="Q359" s="47"/>
      <c r="R359" s="40"/>
      <c r="S359" s="42"/>
      <c r="T359" s="41"/>
      <c r="U359" s="41"/>
      <c r="V359" s="48" t="s">
        <v>453</v>
      </c>
      <c r="W359" s="43"/>
      <c r="X359" s="44">
        <v>46197</v>
      </c>
      <c r="Y359" s="41" t="s">
        <v>454</v>
      </c>
      <c r="Z359" s="41"/>
      <c r="AA359" s="41"/>
      <c r="AB359" s="41" t="s">
        <v>937</v>
      </c>
      <c r="AC359" s="49"/>
      <c r="AD359" s="49">
        <v>1212</v>
      </c>
      <c r="AE359" s="50"/>
      <c r="AF359" s="51"/>
      <c r="AG359" s="51"/>
      <c r="AH359" s="52"/>
      <c r="AI359" s="52"/>
      <c r="AJ359" s="53"/>
      <c r="AK359" s="52"/>
      <c r="AL359" s="43">
        <v>18</v>
      </c>
      <c r="AM359" s="168" t="s">
        <v>938</v>
      </c>
      <c r="AN359" s="36"/>
      <c r="AO359" s="36"/>
      <c r="AP359" s="37"/>
    </row>
    <row r="360" spans="1:42" s="38" customFormat="1" ht="18.75" customHeight="1" x14ac:dyDescent="0.25">
      <c r="A360" s="44">
        <v>46197</v>
      </c>
      <c r="B360" s="40">
        <f t="shared" si="10"/>
        <v>46197</v>
      </c>
      <c r="C360" s="41" t="s">
        <v>85</v>
      </c>
      <c r="D360" s="45" t="s">
        <v>86</v>
      </c>
      <c r="E360" s="45">
        <v>31756</v>
      </c>
      <c r="F360" s="45">
        <v>1</v>
      </c>
      <c r="G360" s="191">
        <v>20097756</v>
      </c>
      <c r="H360" s="54" t="s">
        <v>378</v>
      </c>
      <c r="I360" s="42"/>
      <c r="J360" s="43"/>
      <c r="K360" s="43">
        <f t="shared" si="11"/>
        <v>350</v>
      </c>
      <c r="L360" s="43"/>
      <c r="M360" s="43"/>
      <c r="N360" s="43"/>
      <c r="O360" s="43"/>
      <c r="P360" s="46">
        <v>350</v>
      </c>
      <c r="Q360" s="47"/>
      <c r="R360" s="40"/>
      <c r="S360" s="42"/>
      <c r="T360" s="41"/>
      <c r="U360" s="41"/>
      <c r="V360" s="48" t="s">
        <v>453</v>
      </c>
      <c r="W360" s="43"/>
      <c r="X360" s="44">
        <v>46197</v>
      </c>
      <c r="Y360" s="41" t="s">
        <v>454</v>
      </c>
      <c r="Z360" s="41"/>
      <c r="AA360" s="41"/>
      <c r="AB360" s="41" t="s">
        <v>937</v>
      </c>
      <c r="AC360" s="49"/>
      <c r="AD360" s="49">
        <v>1212</v>
      </c>
      <c r="AE360" s="50"/>
      <c r="AF360" s="51"/>
      <c r="AG360" s="51"/>
      <c r="AH360" s="52"/>
      <c r="AI360" s="52"/>
      <c r="AJ360" s="53"/>
      <c r="AK360" s="52"/>
      <c r="AL360" s="43">
        <v>18</v>
      </c>
      <c r="AM360" s="168" t="s">
        <v>938</v>
      </c>
      <c r="AN360" s="36"/>
      <c r="AO360" s="36"/>
      <c r="AP360" s="37"/>
    </row>
    <row r="361" spans="1:42" s="38" customFormat="1" ht="18.75" customHeight="1" x14ac:dyDescent="0.25">
      <c r="A361" s="44">
        <v>46197</v>
      </c>
      <c r="B361" s="40">
        <f t="shared" si="10"/>
        <v>46197</v>
      </c>
      <c r="C361" s="41" t="s">
        <v>85</v>
      </c>
      <c r="D361" s="45" t="s">
        <v>86</v>
      </c>
      <c r="E361" s="45">
        <v>31757</v>
      </c>
      <c r="F361" s="45">
        <v>1</v>
      </c>
      <c r="G361" s="191">
        <v>44545646</v>
      </c>
      <c r="H361" s="54" t="s">
        <v>379</v>
      </c>
      <c r="I361" s="42"/>
      <c r="J361" s="43"/>
      <c r="K361" s="43">
        <f t="shared" si="11"/>
        <v>145.80000000000001</v>
      </c>
      <c r="L361" s="43"/>
      <c r="M361" s="43"/>
      <c r="N361" s="43"/>
      <c r="O361" s="43"/>
      <c r="P361" s="46">
        <v>145.80000000000001</v>
      </c>
      <c r="Q361" s="47"/>
      <c r="R361" s="40"/>
      <c r="S361" s="42"/>
      <c r="T361" s="41"/>
      <c r="U361" s="41"/>
      <c r="V361" s="48" t="s">
        <v>453</v>
      </c>
      <c r="W361" s="43"/>
      <c r="X361" s="44">
        <v>46197</v>
      </c>
      <c r="Y361" s="41" t="s">
        <v>454</v>
      </c>
      <c r="Z361" s="41"/>
      <c r="AA361" s="41"/>
      <c r="AB361" s="41" t="s">
        <v>937</v>
      </c>
      <c r="AC361" s="49"/>
      <c r="AD361" s="49">
        <v>1212</v>
      </c>
      <c r="AE361" s="50"/>
      <c r="AF361" s="51"/>
      <c r="AG361" s="51"/>
      <c r="AH361" s="52"/>
      <c r="AI361" s="52"/>
      <c r="AJ361" s="53"/>
      <c r="AK361" s="52"/>
      <c r="AL361" s="43">
        <v>18</v>
      </c>
      <c r="AM361" s="168" t="s">
        <v>938</v>
      </c>
      <c r="AN361" s="36"/>
      <c r="AO361" s="36"/>
      <c r="AP361" s="37"/>
    </row>
    <row r="362" spans="1:42" s="102" customFormat="1" ht="18.75" customHeight="1" x14ac:dyDescent="0.25">
      <c r="A362" s="150">
        <v>46197</v>
      </c>
      <c r="B362" s="151">
        <f t="shared" si="10"/>
        <v>46197</v>
      </c>
      <c r="C362" s="152" t="s">
        <v>924</v>
      </c>
      <c r="D362" s="153" t="s">
        <v>87</v>
      </c>
      <c r="E362" s="153">
        <v>161</v>
      </c>
      <c r="F362" s="153">
        <v>1</v>
      </c>
      <c r="G362" s="193">
        <v>20097756</v>
      </c>
      <c r="H362" s="154" t="s">
        <v>378</v>
      </c>
      <c r="I362" s="155"/>
      <c r="J362" s="156"/>
      <c r="K362" s="156">
        <f t="shared" si="11"/>
        <v>-375</v>
      </c>
      <c r="L362" s="156"/>
      <c r="M362" s="156"/>
      <c r="N362" s="156"/>
      <c r="O362" s="156"/>
      <c r="P362" s="157">
        <v>-375</v>
      </c>
      <c r="Q362" s="158"/>
      <c r="R362" s="151">
        <v>46197</v>
      </c>
      <c r="S362" s="152" t="s">
        <v>85</v>
      </c>
      <c r="T362" s="152" t="s">
        <v>86</v>
      </c>
      <c r="U362" s="152">
        <v>31755</v>
      </c>
      <c r="V362" s="48" t="s">
        <v>453</v>
      </c>
      <c r="W362" s="156"/>
      <c r="X362" s="150">
        <v>46197</v>
      </c>
      <c r="Y362" s="41" t="s">
        <v>454</v>
      </c>
      <c r="Z362" s="152"/>
      <c r="AA362" s="152"/>
      <c r="AB362" s="41" t="s">
        <v>937</v>
      </c>
      <c r="AC362" s="49"/>
      <c r="AD362" s="49">
        <v>1212</v>
      </c>
      <c r="AE362" s="159"/>
      <c r="AF362" s="160"/>
      <c r="AG362" s="160"/>
      <c r="AH362" s="161"/>
      <c r="AI362" s="161"/>
      <c r="AJ362" s="162"/>
      <c r="AK362" s="161"/>
      <c r="AL362" s="43">
        <v>18</v>
      </c>
      <c r="AM362" s="168" t="s">
        <v>938</v>
      </c>
      <c r="AN362" s="100"/>
      <c r="AO362" s="100"/>
      <c r="AP362" s="101"/>
    </row>
    <row r="363" spans="1:42" s="38" customFormat="1" ht="18.75" customHeight="1" x14ac:dyDescent="0.25">
      <c r="A363" s="44">
        <v>46197</v>
      </c>
      <c r="B363" s="40">
        <f t="shared" si="10"/>
        <v>46197</v>
      </c>
      <c r="C363" s="41" t="s">
        <v>85</v>
      </c>
      <c r="D363" s="45" t="s">
        <v>86</v>
      </c>
      <c r="E363" s="45">
        <v>31758</v>
      </c>
      <c r="F363" s="45">
        <v>1</v>
      </c>
      <c r="G363" s="191">
        <v>46877424</v>
      </c>
      <c r="H363" s="54" t="s">
        <v>380</v>
      </c>
      <c r="I363" s="42"/>
      <c r="J363" s="43"/>
      <c r="K363" s="43">
        <f t="shared" si="11"/>
        <v>124.9</v>
      </c>
      <c r="L363" s="43"/>
      <c r="M363" s="43"/>
      <c r="N363" s="43"/>
      <c r="O363" s="43"/>
      <c r="P363" s="46">
        <v>124.9</v>
      </c>
      <c r="Q363" s="47"/>
      <c r="R363" s="40"/>
      <c r="S363" s="42"/>
      <c r="T363" s="41"/>
      <c r="U363" s="41"/>
      <c r="V363" s="48" t="s">
        <v>453</v>
      </c>
      <c r="W363" s="43"/>
      <c r="X363" s="44">
        <v>46197</v>
      </c>
      <c r="Y363" s="41" t="s">
        <v>454</v>
      </c>
      <c r="Z363" s="41"/>
      <c r="AA363" s="41"/>
      <c r="AB363" s="41" t="s">
        <v>937</v>
      </c>
      <c r="AC363" s="49"/>
      <c r="AD363" s="49">
        <v>1212</v>
      </c>
      <c r="AE363" s="50"/>
      <c r="AF363" s="51"/>
      <c r="AG363" s="51"/>
      <c r="AH363" s="52"/>
      <c r="AI363" s="52"/>
      <c r="AJ363" s="53"/>
      <c r="AK363" s="52"/>
      <c r="AL363" s="43">
        <v>18</v>
      </c>
      <c r="AM363" s="168" t="s">
        <v>938</v>
      </c>
      <c r="AN363" s="36"/>
      <c r="AO363" s="36"/>
      <c r="AP363" s="37"/>
    </row>
    <row r="364" spans="1:42" s="38" customFormat="1" ht="18.75" customHeight="1" x14ac:dyDescent="0.25">
      <c r="A364" s="44">
        <v>46197</v>
      </c>
      <c r="B364" s="40">
        <f t="shared" si="10"/>
        <v>46197</v>
      </c>
      <c r="C364" s="41" t="s">
        <v>85</v>
      </c>
      <c r="D364" s="45" t="s">
        <v>86</v>
      </c>
      <c r="E364" s="45">
        <v>31759</v>
      </c>
      <c r="F364" s="45">
        <v>1</v>
      </c>
      <c r="G364" s="191">
        <v>19866297</v>
      </c>
      <c r="H364" s="54" t="s">
        <v>381</v>
      </c>
      <c r="I364" s="42"/>
      <c r="J364" s="43"/>
      <c r="K364" s="43">
        <f t="shared" si="11"/>
        <v>10</v>
      </c>
      <c r="L364" s="43"/>
      <c r="M364" s="43"/>
      <c r="N364" s="43"/>
      <c r="O364" s="43"/>
      <c r="P364" s="46">
        <v>10</v>
      </c>
      <c r="Q364" s="47"/>
      <c r="R364" s="40"/>
      <c r="S364" s="42"/>
      <c r="T364" s="41"/>
      <c r="U364" s="41"/>
      <c r="V364" s="48" t="s">
        <v>453</v>
      </c>
      <c r="W364" s="43"/>
      <c r="X364" s="44">
        <v>46197</v>
      </c>
      <c r="Y364" s="41" t="s">
        <v>454</v>
      </c>
      <c r="Z364" s="41"/>
      <c r="AA364" s="41"/>
      <c r="AB364" s="41" t="s">
        <v>937</v>
      </c>
      <c r="AC364" s="49"/>
      <c r="AD364" s="49">
        <v>1212</v>
      </c>
      <c r="AE364" s="50"/>
      <c r="AF364" s="51"/>
      <c r="AG364" s="51"/>
      <c r="AH364" s="52"/>
      <c r="AI364" s="52"/>
      <c r="AJ364" s="53"/>
      <c r="AK364" s="52"/>
      <c r="AL364" s="43">
        <v>18</v>
      </c>
      <c r="AM364" s="168" t="s">
        <v>938</v>
      </c>
      <c r="AN364" s="36"/>
      <c r="AO364" s="36"/>
      <c r="AP364" s="37"/>
    </row>
    <row r="365" spans="1:42" s="38" customFormat="1" ht="18.75" customHeight="1" x14ac:dyDescent="0.25">
      <c r="A365" s="44">
        <v>46197</v>
      </c>
      <c r="B365" s="40">
        <f t="shared" si="10"/>
        <v>46197</v>
      </c>
      <c r="C365" s="41" t="s">
        <v>85</v>
      </c>
      <c r="D365" s="45" t="s">
        <v>86</v>
      </c>
      <c r="E365" s="45">
        <v>31760</v>
      </c>
      <c r="F365" s="45">
        <v>1</v>
      </c>
      <c r="G365" s="191">
        <v>70201616</v>
      </c>
      <c r="H365" s="54" t="s">
        <v>382</v>
      </c>
      <c r="I365" s="42"/>
      <c r="J365" s="43"/>
      <c r="K365" s="43">
        <f t="shared" si="11"/>
        <v>12.5</v>
      </c>
      <c r="L365" s="43"/>
      <c r="M365" s="43"/>
      <c r="N365" s="43"/>
      <c r="O365" s="43"/>
      <c r="P365" s="46">
        <v>12.5</v>
      </c>
      <c r="Q365" s="47"/>
      <c r="R365" s="40"/>
      <c r="S365" s="42"/>
      <c r="T365" s="41"/>
      <c r="U365" s="41"/>
      <c r="V365" s="48" t="s">
        <v>453</v>
      </c>
      <c r="W365" s="43"/>
      <c r="X365" s="44">
        <v>46197</v>
      </c>
      <c r="Y365" s="41" t="s">
        <v>454</v>
      </c>
      <c r="Z365" s="41"/>
      <c r="AA365" s="41"/>
      <c r="AB365" s="41" t="s">
        <v>937</v>
      </c>
      <c r="AC365" s="49"/>
      <c r="AD365" s="49">
        <v>1212</v>
      </c>
      <c r="AE365" s="50"/>
      <c r="AF365" s="51"/>
      <c r="AG365" s="51"/>
      <c r="AH365" s="52"/>
      <c r="AI365" s="52"/>
      <c r="AJ365" s="53"/>
      <c r="AK365" s="52"/>
      <c r="AL365" s="43">
        <v>18</v>
      </c>
      <c r="AM365" s="168" t="s">
        <v>938</v>
      </c>
      <c r="AN365" s="36"/>
      <c r="AO365" s="36"/>
      <c r="AP365" s="37"/>
    </row>
    <row r="366" spans="1:42" s="38" customFormat="1" ht="18.75" customHeight="1" x14ac:dyDescent="0.25">
      <c r="A366" s="44">
        <v>46197</v>
      </c>
      <c r="B366" s="40">
        <f t="shared" si="10"/>
        <v>46197</v>
      </c>
      <c r="C366" s="41" t="s">
        <v>85</v>
      </c>
      <c r="D366" s="45" t="s">
        <v>86</v>
      </c>
      <c r="E366" s="45">
        <v>31761</v>
      </c>
      <c r="F366" s="45">
        <v>1</v>
      </c>
      <c r="G366" s="191">
        <v>61648804</v>
      </c>
      <c r="H366" s="54" t="s">
        <v>383</v>
      </c>
      <c r="I366" s="42"/>
      <c r="J366" s="43"/>
      <c r="K366" s="43">
        <f t="shared" si="11"/>
        <v>6</v>
      </c>
      <c r="L366" s="43"/>
      <c r="M366" s="43"/>
      <c r="N366" s="43"/>
      <c r="O366" s="43"/>
      <c r="P366" s="46">
        <v>6</v>
      </c>
      <c r="Q366" s="47"/>
      <c r="R366" s="40"/>
      <c r="S366" s="42"/>
      <c r="T366" s="41"/>
      <c r="U366" s="41"/>
      <c r="V366" s="48" t="s">
        <v>453</v>
      </c>
      <c r="W366" s="43"/>
      <c r="X366" s="44">
        <v>46197</v>
      </c>
      <c r="Y366" s="41" t="s">
        <v>454</v>
      </c>
      <c r="Z366" s="41"/>
      <c r="AA366" s="41"/>
      <c r="AB366" s="41" t="s">
        <v>937</v>
      </c>
      <c r="AC366" s="49"/>
      <c r="AD366" s="49">
        <v>1212</v>
      </c>
      <c r="AE366" s="50"/>
      <c r="AF366" s="51"/>
      <c r="AG366" s="51"/>
      <c r="AH366" s="52"/>
      <c r="AI366" s="52"/>
      <c r="AJ366" s="53"/>
      <c r="AK366" s="52"/>
      <c r="AL366" s="43">
        <v>18</v>
      </c>
      <c r="AM366" s="168" t="s">
        <v>938</v>
      </c>
      <c r="AN366" s="36"/>
      <c r="AO366" s="36"/>
      <c r="AP366" s="37"/>
    </row>
    <row r="367" spans="1:42" s="38" customFormat="1" ht="18.75" customHeight="1" x14ac:dyDescent="0.25">
      <c r="A367" s="44">
        <v>46197</v>
      </c>
      <c r="B367" s="40">
        <f t="shared" si="10"/>
        <v>46197</v>
      </c>
      <c r="C367" s="41" t="s">
        <v>85</v>
      </c>
      <c r="D367" s="45" t="s">
        <v>86</v>
      </c>
      <c r="E367" s="45">
        <v>31762</v>
      </c>
      <c r="F367" s="45">
        <v>1</v>
      </c>
      <c r="G367" s="191">
        <v>20882561</v>
      </c>
      <c r="H367" s="54" t="s">
        <v>384</v>
      </c>
      <c r="I367" s="42"/>
      <c r="J367" s="43"/>
      <c r="K367" s="43">
        <f t="shared" si="11"/>
        <v>10</v>
      </c>
      <c r="L367" s="43"/>
      <c r="M367" s="43"/>
      <c r="N367" s="43"/>
      <c r="O367" s="43"/>
      <c r="P367" s="46">
        <v>10</v>
      </c>
      <c r="Q367" s="47"/>
      <c r="R367" s="40"/>
      <c r="S367" s="42"/>
      <c r="T367" s="41"/>
      <c r="U367" s="41"/>
      <c r="V367" s="48" t="s">
        <v>453</v>
      </c>
      <c r="W367" s="43"/>
      <c r="X367" s="44">
        <v>46197</v>
      </c>
      <c r="Y367" s="41" t="s">
        <v>454</v>
      </c>
      <c r="Z367" s="41"/>
      <c r="AA367" s="41"/>
      <c r="AB367" s="41" t="s">
        <v>937</v>
      </c>
      <c r="AC367" s="49"/>
      <c r="AD367" s="49">
        <v>1212</v>
      </c>
      <c r="AE367" s="50"/>
      <c r="AF367" s="51"/>
      <c r="AG367" s="51"/>
      <c r="AH367" s="52"/>
      <c r="AI367" s="52"/>
      <c r="AJ367" s="53"/>
      <c r="AK367" s="52"/>
      <c r="AL367" s="43">
        <v>18</v>
      </c>
      <c r="AM367" s="168" t="s">
        <v>938</v>
      </c>
      <c r="AN367" s="36"/>
      <c r="AO367" s="36"/>
      <c r="AP367" s="37"/>
    </row>
    <row r="368" spans="1:42" s="38" customFormat="1" ht="18.75" customHeight="1" x14ac:dyDescent="0.25">
      <c r="A368" s="44">
        <v>46197</v>
      </c>
      <c r="B368" s="40">
        <f t="shared" si="10"/>
        <v>46197</v>
      </c>
      <c r="C368" s="41" t="s">
        <v>85</v>
      </c>
      <c r="D368" s="45" t="s">
        <v>86</v>
      </c>
      <c r="E368" s="45">
        <v>31763</v>
      </c>
      <c r="F368" s="45">
        <v>1</v>
      </c>
      <c r="G368" s="191">
        <v>40226312</v>
      </c>
      <c r="H368" s="54" t="s">
        <v>385</v>
      </c>
      <c r="I368" s="42"/>
      <c r="J368" s="43"/>
      <c r="K368" s="43">
        <f t="shared" si="11"/>
        <v>5</v>
      </c>
      <c r="L368" s="43"/>
      <c r="M368" s="43"/>
      <c r="N368" s="43"/>
      <c r="O368" s="43"/>
      <c r="P368" s="46">
        <v>5</v>
      </c>
      <c r="Q368" s="47"/>
      <c r="R368" s="40"/>
      <c r="S368" s="42"/>
      <c r="T368" s="41"/>
      <c r="U368" s="41"/>
      <c r="V368" s="48" t="s">
        <v>453</v>
      </c>
      <c r="W368" s="43"/>
      <c r="X368" s="44">
        <v>46197</v>
      </c>
      <c r="Y368" s="41" t="s">
        <v>454</v>
      </c>
      <c r="Z368" s="41"/>
      <c r="AA368" s="41"/>
      <c r="AB368" s="41" t="s">
        <v>937</v>
      </c>
      <c r="AC368" s="49"/>
      <c r="AD368" s="49">
        <v>1212</v>
      </c>
      <c r="AE368" s="50"/>
      <c r="AF368" s="51"/>
      <c r="AG368" s="51"/>
      <c r="AH368" s="52"/>
      <c r="AI368" s="52"/>
      <c r="AJ368" s="53"/>
      <c r="AK368" s="52"/>
      <c r="AL368" s="43">
        <v>18</v>
      </c>
      <c r="AM368" s="168" t="s">
        <v>938</v>
      </c>
      <c r="AN368" s="36"/>
      <c r="AO368" s="36"/>
      <c r="AP368" s="37"/>
    </row>
    <row r="369" spans="1:42" s="38" customFormat="1" ht="18.75" customHeight="1" x14ac:dyDescent="0.25">
      <c r="A369" s="44">
        <v>46197</v>
      </c>
      <c r="B369" s="40">
        <f t="shared" si="10"/>
        <v>46197</v>
      </c>
      <c r="C369" s="41" t="s">
        <v>85</v>
      </c>
      <c r="D369" s="45" t="s">
        <v>86</v>
      </c>
      <c r="E369" s="45">
        <v>31764</v>
      </c>
      <c r="F369" s="45">
        <v>1</v>
      </c>
      <c r="G369" s="191">
        <v>42456872</v>
      </c>
      <c r="H369" s="54" t="s">
        <v>386</v>
      </c>
      <c r="I369" s="42"/>
      <c r="J369" s="43"/>
      <c r="K369" s="43">
        <f t="shared" si="11"/>
        <v>175</v>
      </c>
      <c r="L369" s="43"/>
      <c r="M369" s="43"/>
      <c r="N369" s="43"/>
      <c r="O369" s="43"/>
      <c r="P369" s="46">
        <v>175</v>
      </c>
      <c r="Q369" s="47"/>
      <c r="R369" s="40"/>
      <c r="S369" s="42"/>
      <c r="T369" s="41"/>
      <c r="U369" s="41"/>
      <c r="V369" s="48" t="s">
        <v>453</v>
      </c>
      <c r="W369" s="43"/>
      <c r="X369" s="44">
        <v>46197</v>
      </c>
      <c r="Y369" s="41" t="s">
        <v>454</v>
      </c>
      <c r="Z369" s="41"/>
      <c r="AA369" s="41"/>
      <c r="AB369" s="41" t="s">
        <v>937</v>
      </c>
      <c r="AC369" s="49"/>
      <c r="AD369" s="49">
        <v>1212</v>
      </c>
      <c r="AE369" s="50"/>
      <c r="AF369" s="51"/>
      <c r="AG369" s="51"/>
      <c r="AH369" s="52"/>
      <c r="AI369" s="52"/>
      <c r="AJ369" s="53"/>
      <c r="AK369" s="52"/>
      <c r="AL369" s="43">
        <v>18</v>
      </c>
      <c r="AM369" s="168" t="s">
        <v>938</v>
      </c>
      <c r="AN369" s="36"/>
      <c r="AO369" s="36"/>
      <c r="AP369" s="37"/>
    </row>
    <row r="370" spans="1:42" s="190" customFormat="1" ht="18.75" customHeight="1" x14ac:dyDescent="0.25">
      <c r="A370" s="172">
        <v>46197</v>
      </c>
      <c r="B370" s="173">
        <f t="shared" si="10"/>
        <v>46197</v>
      </c>
      <c r="C370" s="174" t="s">
        <v>85</v>
      </c>
      <c r="D370" s="175" t="s">
        <v>86</v>
      </c>
      <c r="E370" s="175">
        <v>31765</v>
      </c>
      <c r="F370" s="175">
        <v>1</v>
      </c>
      <c r="G370" s="192" t="s">
        <v>930</v>
      </c>
      <c r="H370" s="176" t="s">
        <v>224</v>
      </c>
      <c r="I370" s="177"/>
      <c r="J370" s="178"/>
      <c r="K370" s="178">
        <f t="shared" si="11"/>
        <v>7</v>
      </c>
      <c r="L370" s="178"/>
      <c r="M370" s="178"/>
      <c r="N370" s="178"/>
      <c r="O370" s="178"/>
      <c r="P370" s="179">
        <v>7</v>
      </c>
      <c r="Q370" s="180"/>
      <c r="R370" s="173"/>
      <c r="S370" s="177"/>
      <c r="T370" s="174"/>
      <c r="U370" s="174"/>
      <c r="V370" s="181" t="s">
        <v>453</v>
      </c>
      <c r="W370" s="178"/>
      <c r="X370" s="172">
        <v>46197</v>
      </c>
      <c r="Y370" s="174" t="s">
        <v>454</v>
      </c>
      <c r="Z370" s="174"/>
      <c r="AA370" s="174"/>
      <c r="AB370" s="174" t="s">
        <v>937</v>
      </c>
      <c r="AC370" s="182"/>
      <c r="AD370" s="182">
        <v>1212</v>
      </c>
      <c r="AE370" s="183"/>
      <c r="AF370" s="184"/>
      <c r="AG370" s="184"/>
      <c r="AH370" s="185"/>
      <c r="AI370" s="185"/>
      <c r="AJ370" s="186"/>
      <c r="AK370" s="185"/>
      <c r="AL370" s="178">
        <v>18</v>
      </c>
      <c r="AM370" s="187" t="s">
        <v>938</v>
      </c>
      <c r="AN370" s="188"/>
      <c r="AO370" s="188"/>
      <c r="AP370" s="189"/>
    </row>
    <row r="371" spans="1:42" s="38" customFormat="1" ht="18.75" customHeight="1" x14ac:dyDescent="0.25">
      <c r="A371" s="44">
        <v>46197</v>
      </c>
      <c r="B371" s="40">
        <f t="shared" si="10"/>
        <v>46197</v>
      </c>
      <c r="C371" s="41" t="s">
        <v>85</v>
      </c>
      <c r="D371" s="45" t="s">
        <v>86</v>
      </c>
      <c r="E371" s="45">
        <v>31766</v>
      </c>
      <c r="F371" s="45">
        <v>1</v>
      </c>
      <c r="G371" s="191">
        <v>40161476</v>
      </c>
      <c r="H371" s="54" t="s">
        <v>189</v>
      </c>
      <c r="I371" s="42"/>
      <c r="J371" s="43"/>
      <c r="K371" s="43">
        <f t="shared" si="11"/>
        <v>8</v>
      </c>
      <c r="L371" s="43"/>
      <c r="M371" s="43"/>
      <c r="N371" s="43"/>
      <c r="O371" s="43"/>
      <c r="P371" s="46">
        <v>8</v>
      </c>
      <c r="Q371" s="47"/>
      <c r="R371" s="40"/>
      <c r="S371" s="42"/>
      <c r="T371" s="41"/>
      <c r="U371" s="41"/>
      <c r="V371" s="48" t="s">
        <v>453</v>
      </c>
      <c r="W371" s="43"/>
      <c r="X371" s="44">
        <v>46197</v>
      </c>
      <c r="Y371" s="41" t="s">
        <v>454</v>
      </c>
      <c r="Z371" s="41"/>
      <c r="AA371" s="41"/>
      <c r="AB371" s="41" t="s">
        <v>937</v>
      </c>
      <c r="AC371" s="49"/>
      <c r="AD371" s="49">
        <v>1212</v>
      </c>
      <c r="AE371" s="50"/>
      <c r="AF371" s="51"/>
      <c r="AG371" s="51"/>
      <c r="AH371" s="52"/>
      <c r="AI371" s="52"/>
      <c r="AJ371" s="53"/>
      <c r="AK371" s="52"/>
      <c r="AL371" s="43">
        <v>18</v>
      </c>
      <c r="AM371" s="168" t="s">
        <v>938</v>
      </c>
      <c r="AN371" s="36"/>
      <c r="AO371" s="36"/>
      <c r="AP371" s="37"/>
    </row>
    <row r="372" spans="1:42" s="38" customFormat="1" ht="18.75" customHeight="1" x14ac:dyDescent="0.25">
      <c r="A372" s="44">
        <v>46197</v>
      </c>
      <c r="B372" s="40">
        <f t="shared" si="10"/>
        <v>46197</v>
      </c>
      <c r="C372" s="41" t="s">
        <v>85</v>
      </c>
      <c r="D372" s="45" t="s">
        <v>86</v>
      </c>
      <c r="E372" s="45">
        <v>31767</v>
      </c>
      <c r="F372" s="45">
        <v>1</v>
      </c>
      <c r="G372" s="191">
        <v>19989225</v>
      </c>
      <c r="H372" s="54" t="s">
        <v>387</v>
      </c>
      <c r="I372" s="42"/>
      <c r="J372" s="43"/>
      <c r="K372" s="43">
        <f t="shared" si="11"/>
        <v>10</v>
      </c>
      <c r="L372" s="43"/>
      <c r="M372" s="43"/>
      <c r="N372" s="43"/>
      <c r="O372" s="43"/>
      <c r="P372" s="46">
        <v>10</v>
      </c>
      <c r="Q372" s="47"/>
      <c r="R372" s="40"/>
      <c r="S372" s="42"/>
      <c r="T372" s="41"/>
      <c r="U372" s="41"/>
      <c r="V372" s="48" t="s">
        <v>453</v>
      </c>
      <c r="W372" s="43"/>
      <c r="X372" s="44">
        <v>46197</v>
      </c>
      <c r="Y372" s="41" t="s">
        <v>454</v>
      </c>
      <c r="Z372" s="41"/>
      <c r="AA372" s="41"/>
      <c r="AB372" s="41" t="s">
        <v>937</v>
      </c>
      <c r="AC372" s="49"/>
      <c r="AD372" s="49">
        <v>1212</v>
      </c>
      <c r="AE372" s="50"/>
      <c r="AF372" s="51"/>
      <c r="AG372" s="51"/>
      <c r="AH372" s="52"/>
      <c r="AI372" s="52"/>
      <c r="AJ372" s="53"/>
      <c r="AK372" s="52"/>
      <c r="AL372" s="43">
        <v>18</v>
      </c>
      <c r="AM372" s="168" t="s">
        <v>938</v>
      </c>
      <c r="AN372" s="36"/>
      <c r="AO372" s="36"/>
      <c r="AP372" s="37"/>
    </row>
    <row r="373" spans="1:42" s="38" customFormat="1" ht="18.75" customHeight="1" x14ac:dyDescent="0.25">
      <c r="A373" s="44">
        <v>46197</v>
      </c>
      <c r="B373" s="40">
        <f t="shared" si="10"/>
        <v>46197</v>
      </c>
      <c r="C373" s="41" t="s">
        <v>85</v>
      </c>
      <c r="D373" s="45" t="s">
        <v>86</v>
      </c>
      <c r="E373" s="45">
        <v>31768</v>
      </c>
      <c r="F373" s="45">
        <v>1</v>
      </c>
      <c r="G373" s="191">
        <v>43122719</v>
      </c>
      <c r="H373" s="54" t="s">
        <v>388</v>
      </c>
      <c r="I373" s="42"/>
      <c r="J373" s="43"/>
      <c r="K373" s="43">
        <f t="shared" si="11"/>
        <v>10</v>
      </c>
      <c r="L373" s="43"/>
      <c r="M373" s="43"/>
      <c r="N373" s="43"/>
      <c r="O373" s="43"/>
      <c r="P373" s="46">
        <v>10</v>
      </c>
      <c r="Q373" s="47"/>
      <c r="R373" s="40"/>
      <c r="S373" s="42"/>
      <c r="T373" s="41"/>
      <c r="U373" s="41"/>
      <c r="V373" s="48" t="s">
        <v>453</v>
      </c>
      <c r="W373" s="43"/>
      <c r="X373" s="44">
        <v>46197</v>
      </c>
      <c r="Y373" s="41" t="s">
        <v>454</v>
      </c>
      <c r="Z373" s="41"/>
      <c r="AA373" s="41"/>
      <c r="AB373" s="41" t="s">
        <v>937</v>
      </c>
      <c r="AC373" s="49"/>
      <c r="AD373" s="49">
        <v>1212</v>
      </c>
      <c r="AE373" s="50"/>
      <c r="AF373" s="51"/>
      <c r="AG373" s="51"/>
      <c r="AH373" s="52"/>
      <c r="AI373" s="52"/>
      <c r="AJ373" s="53"/>
      <c r="AK373" s="52"/>
      <c r="AL373" s="43">
        <v>18</v>
      </c>
      <c r="AM373" s="168" t="s">
        <v>938</v>
      </c>
      <c r="AN373" s="36"/>
      <c r="AO373" s="36"/>
      <c r="AP373" s="37"/>
    </row>
    <row r="374" spans="1:42" s="38" customFormat="1" ht="18.75" customHeight="1" x14ac:dyDescent="0.25">
      <c r="A374" s="44">
        <v>46197</v>
      </c>
      <c r="B374" s="40">
        <f t="shared" si="10"/>
        <v>46197</v>
      </c>
      <c r="C374" s="41" t="s">
        <v>85</v>
      </c>
      <c r="D374" s="45" t="s">
        <v>86</v>
      </c>
      <c r="E374" s="45">
        <v>31769</v>
      </c>
      <c r="F374" s="45">
        <v>1</v>
      </c>
      <c r="G374" s="191">
        <v>19970560</v>
      </c>
      <c r="H374" s="54" t="s">
        <v>389</v>
      </c>
      <c r="I374" s="42"/>
      <c r="J374" s="43"/>
      <c r="K374" s="43">
        <f t="shared" si="11"/>
        <v>22.5</v>
      </c>
      <c r="L374" s="43"/>
      <c r="M374" s="43"/>
      <c r="N374" s="43"/>
      <c r="O374" s="43"/>
      <c r="P374" s="46">
        <v>22.5</v>
      </c>
      <c r="Q374" s="47"/>
      <c r="R374" s="40"/>
      <c r="S374" s="42"/>
      <c r="T374" s="41"/>
      <c r="U374" s="41"/>
      <c r="V374" s="48" t="s">
        <v>453</v>
      </c>
      <c r="W374" s="43"/>
      <c r="X374" s="44">
        <v>46197</v>
      </c>
      <c r="Y374" s="41" t="s">
        <v>454</v>
      </c>
      <c r="Z374" s="41"/>
      <c r="AA374" s="41"/>
      <c r="AB374" s="41" t="s">
        <v>937</v>
      </c>
      <c r="AC374" s="49"/>
      <c r="AD374" s="49">
        <v>1212</v>
      </c>
      <c r="AE374" s="50"/>
      <c r="AF374" s="51"/>
      <c r="AG374" s="51"/>
      <c r="AH374" s="52"/>
      <c r="AI374" s="52"/>
      <c r="AJ374" s="53"/>
      <c r="AK374" s="52"/>
      <c r="AL374" s="43">
        <v>18</v>
      </c>
      <c r="AM374" s="168" t="s">
        <v>938</v>
      </c>
      <c r="AN374" s="36"/>
      <c r="AO374" s="36"/>
      <c r="AP374" s="37"/>
    </row>
    <row r="375" spans="1:42" s="38" customFormat="1" ht="18.75" customHeight="1" x14ac:dyDescent="0.25">
      <c r="A375" s="44">
        <v>46197</v>
      </c>
      <c r="B375" s="40">
        <f t="shared" si="10"/>
        <v>46197</v>
      </c>
      <c r="C375" s="41" t="s">
        <v>85</v>
      </c>
      <c r="D375" s="45" t="s">
        <v>86</v>
      </c>
      <c r="E375" s="45">
        <v>31770</v>
      </c>
      <c r="F375" s="45">
        <v>1</v>
      </c>
      <c r="G375" s="191">
        <v>45584932</v>
      </c>
      <c r="H375" s="54" t="s">
        <v>390</v>
      </c>
      <c r="I375" s="42"/>
      <c r="J375" s="43"/>
      <c r="K375" s="43">
        <f t="shared" si="11"/>
        <v>26.9</v>
      </c>
      <c r="L375" s="43"/>
      <c r="M375" s="43"/>
      <c r="N375" s="43"/>
      <c r="O375" s="43"/>
      <c r="P375" s="46">
        <v>26.9</v>
      </c>
      <c r="Q375" s="47"/>
      <c r="R375" s="40"/>
      <c r="S375" s="42"/>
      <c r="T375" s="41"/>
      <c r="U375" s="41"/>
      <c r="V375" s="48" t="s">
        <v>453</v>
      </c>
      <c r="W375" s="43"/>
      <c r="X375" s="44">
        <v>46197</v>
      </c>
      <c r="Y375" s="41" t="s">
        <v>454</v>
      </c>
      <c r="Z375" s="41"/>
      <c r="AA375" s="41"/>
      <c r="AB375" s="41" t="s">
        <v>937</v>
      </c>
      <c r="AC375" s="49"/>
      <c r="AD375" s="49">
        <v>1212</v>
      </c>
      <c r="AE375" s="50"/>
      <c r="AF375" s="51"/>
      <c r="AG375" s="51"/>
      <c r="AH375" s="52"/>
      <c r="AI375" s="52"/>
      <c r="AJ375" s="53"/>
      <c r="AK375" s="52"/>
      <c r="AL375" s="43">
        <v>18</v>
      </c>
      <c r="AM375" s="168" t="s">
        <v>938</v>
      </c>
      <c r="AN375" s="36"/>
      <c r="AO375" s="36"/>
      <c r="AP375" s="37"/>
    </row>
    <row r="376" spans="1:42" s="102" customFormat="1" ht="18.75" customHeight="1" x14ac:dyDescent="0.25">
      <c r="A376" s="150">
        <v>46197</v>
      </c>
      <c r="B376" s="151">
        <f t="shared" si="10"/>
        <v>46197</v>
      </c>
      <c r="C376" s="152" t="s">
        <v>924</v>
      </c>
      <c r="D376" s="153" t="s">
        <v>87</v>
      </c>
      <c r="E376" s="153">
        <v>162</v>
      </c>
      <c r="F376" s="153">
        <v>1</v>
      </c>
      <c r="G376" s="193">
        <v>19970560</v>
      </c>
      <c r="H376" s="154" t="s">
        <v>389</v>
      </c>
      <c r="I376" s="155"/>
      <c r="J376" s="156"/>
      <c r="K376" s="156">
        <f t="shared" si="11"/>
        <v>-22.5</v>
      </c>
      <c r="L376" s="156"/>
      <c r="M376" s="156"/>
      <c r="N376" s="156"/>
      <c r="O376" s="156"/>
      <c r="P376" s="157">
        <v>-22.5</v>
      </c>
      <c r="Q376" s="158"/>
      <c r="R376" s="151">
        <v>46197</v>
      </c>
      <c r="S376" s="152" t="s">
        <v>85</v>
      </c>
      <c r="T376" s="152" t="s">
        <v>86</v>
      </c>
      <c r="U376" s="152">
        <v>31769</v>
      </c>
      <c r="V376" s="48" t="s">
        <v>453</v>
      </c>
      <c r="W376" s="156"/>
      <c r="X376" s="150">
        <v>46197</v>
      </c>
      <c r="Y376" s="41" t="s">
        <v>454</v>
      </c>
      <c r="Z376" s="152"/>
      <c r="AA376" s="152"/>
      <c r="AB376" s="41" t="s">
        <v>937</v>
      </c>
      <c r="AC376" s="49"/>
      <c r="AD376" s="49">
        <v>1212</v>
      </c>
      <c r="AE376" s="159"/>
      <c r="AF376" s="160"/>
      <c r="AG376" s="160"/>
      <c r="AH376" s="161"/>
      <c r="AI376" s="161"/>
      <c r="AJ376" s="162"/>
      <c r="AK376" s="161"/>
      <c r="AL376" s="43">
        <v>18</v>
      </c>
      <c r="AM376" s="168" t="s">
        <v>938</v>
      </c>
      <c r="AN376" s="100"/>
      <c r="AO376" s="100"/>
      <c r="AP376" s="101"/>
    </row>
    <row r="377" spans="1:42" s="38" customFormat="1" ht="18.75" customHeight="1" x14ac:dyDescent="0.25">
      <c r="A377" s="44">
        <v>46197</v>
      </c>
      <c r="B377" s="40">
        <f t="shared" ref="B377:B440" si="12">+A377</f>
        <v>46197</v>
      </c>
      <c r="C377" s="41" t="s">
        <v>85</v>
      </c>
      <c r="D377" s="45" t="s">
        <v>86</v>
      </c>
      <c r="E377" s="45">
        <v>31771</v>
      </c>
      <c r="F377" s="45">
        <v>1</v>
      </c>
      <c r="G377" s="191">
        <v>20085390</v>
      </c>
      <c r="H377" s="54" t="s">
        <v>391</v>
      </c>
      <c r="I377" s="42"/>
      <c r="J377" s="43"/>
      <c r="K377" s="43">
        <f t="shared" ref="K377:K440" si="13">+P377</f>
        <v>7.5</v>
      </c>
      <c r="L377" s="43"/>
      <c r="M377" s="43"/>
      <c r="N377" s="43"/>
      <c r="O377" s="43"/>
      <c r="P377" s="46">
        <v>7.5</v>
      </c>
      <c r="Q377" s="47"/>
      <c r="R377" s="40"/>
      <c r="S377" s="42"/>
      <c r="T377" s="41"/>
      <c r="U377" s="41"/>
      <c r="V377" s="48" t="s">
        <v>453</v>
      </c>
      <c r="W377" s="43"/>
      <c r="X377" s="44">
        <v>46197</v>
      </c>
      <c r="Y377" s="41" t="s">
        <v>454</v>
      </c>
      <c r="Z377" s="41"/>
      <c r="AA377" s="41"/>
      <c r="AB377" s="41" t="s">
        <v>937</v>
      </c>
      <c r="AC377" s="49"/>
      <c r="AD377" s="49">
        <v>1212</v>
      </c>
      <c r="AE377" s="50"/>
      <c r="AF377" s="51"/>
      <c r="AG377" s="51"/>
      <c r="AH377" s="52"/>
      <c r="AI377" s="52"/>
      <c r="AJ377" s="53"/>
      <c r="AK377" s="52"/>
      <c r="AL377" s="43">
        <v>18</v>
      </c>
      <c r="AM377" s="168" t="s">
        <v>938</v>
      </c>
      <c r="AN377" s="36"/>
      <c r="AO377" s="36"/>
      <c r="AP377" s="37"/>
    </row>
    <row r="378" spans="1:42" s="38" customFormat="1" ht="18.75" customHeight="1" x14ac:dyDescent="0.25">
      <c r="A378" s="44">
        <v>46198</v>
      </c>
      <c r="B378" s="40">
        <f t="shared" si="12"/>
        <v>46198</v>
      </c>
      <c r="C378" s="41" t="s">
        <v>85</v>
      </c>
      <c r="D378" s="45" t="s">
        <v>86</v>
      </c>
      <c r="E378" s="45">
        <v>31772</v>
      </c>
      <c r="F378" s="45">
        <v>6</v>
      </c>
      <c r="G378" s="191">
        <v>20603590687</v>
      </c>
      <c r="H378" s="54" t="s">
        <v>137</v>
      </c>
      <c r="I378" s="42"/>
      <c r="J378" s="43"/>
      <c r="K378" s="43">
        <f t="shared" si="13"/>
        <v>10</v>
      </c>
      <c r="L378" s="43"/>
      <c r="M378" s="43"/>
      <c r="N378" s="43"/>
      <c r="O378" s="43"/>
      <c r="P378" s="46">
        <v>10</v>
      </c>
      <c r="Q378" s="47"/>
      <c r="R378" s="40"/>
      <c r="S378" s="42"/>
      <c r="T378" s="41"/>
      <c r="U378" s="41"/>
      <c r="V378" s="48" t="s">
        <v>453</v>
      </c>
      <c r="W378" s="43"/>
      <c r="X378" s="44">
        <v>46198</v>
      </c>
      <c r="Y378" s="41" t="s">
        <v>454</v>
      </c>
      <c r="Z378" s="41"/>
      <c r="AA378" s="41"/>
      <c r="AB378" s="41" t="s">
        <v>937</v>
      </c>
      <c r="AC378" s="49"/>
      <c r="AD378" s="49">
        <v>1212</v>
      </c>
      <c r="AE378" s="50"/>
      <c r="AF378" s="51"/>
      <c r="AG378" s="51"/>
      <c r="AH378" s="52"/>
      <c r="AI378" s="52"/>
      <c r="AJ378" s="53"/>
      <c r="AK378" s="52"/>
      <c r="AL378" s="43">
        <v>18</v>
      </c>
      <c r="AM378" s="168" t="s">
        <v>938</v>
      </c>
      <c r="AN378" s="36"/>
      <c r="AO378" s="36"/>
      <c r="AP378" s="37"/>
    </row>
    <row r="379" spans="1:42" s="38" customFormat="1" ht="18.75" customHeight="1" x14ac:dyDescent="0.25">
      <c r="A379" s="44">
        <v>46198</v>
      </c>
      <c r="B379" s="40">
        <f t="shared" si="12"/>
        <v>46198</v>
      </c>
      <c r="C379" s="41" t="s">
        <v>85</v>
      </c>
      <c r="D379" s="45" t="s">
        <v>86</v>
      </c>
      <c r="E379" s="45">
        <v>31773</v>
      </c>
      <c r="F379" s="45">
        <v>6</v>
      </c>
      <c r="G379" s="191">
        <v>20518164717</v>
      </c>
      <c r="H379" s="54" t="s">
        <v>118</v>
      </c>
      <c r="I379" s="42"/>
      <c r="J379" s="43"/>
      <c r="K379" s="43">
        <f t="shared" si="13"/>
        <v>13.5</v>
      </c>
      <c r="L379" s="43"/>
      <c r="M379" s="43"/>
      <c r="N379" s="43"/>
      <c r="O379" s="43"/>
      <c r="P379" s="46">
        <v>13.5</v>
      </c>
      <c r="Q379" s="47"/>
      <c r="R379" s="40"/>
      <c r="S379" s="42"/>
      <c r="T379" s="41"/>
      <c r="U379" s="41"/>
      <c r="V379" s="48" t="s">
        <v>453</v>
      </c>
      <c r="W379" s="43"/>
      <c r="X379" s="44">
        <v>46198</v>
      </c>
      <c r="Y379" s="41" t="s">
        <v>454</v>
      </c>
      <c r="Z379" s="41"/>
      <c r="AA379" s="41"/>
      <c r="AB379" s="41" t="s">
        <v>937</v>
      </c>
      <c r="AC379" s="49"/>
      <c r="AD379" s="49">
        <v>1212</v>
      </c>
      <c r="AE379" s="50"/>
      <c r="AF379" s="51"/>
      <c r="AG379" s="51"/>
      <c r="AH379" s="52"/>
      <c r="AI379" s="52"/>
      <c r="AJ379" s="53"/>
      <c r="AK379" s="52"/>
      <c r="AL379" s="43">
        <v>18</v>
      </c>
      <c r="AM379" s="168" t="s">
        <v>938</v>
      </c>
      <c r="AN379" s="36"/>
      <c r="AO379" s="36"/>
      <c r="AP379" s="37"/>
    </row>
    <row r="380" spans="1:42" s="38" customFormat="1" ht="18.75" customHeight="1" x14ac:dyDescent="0.25">
      <c r="A380" s="44">
        <v>46198</v>
      </c>
      <c r="B380" s="40">
        <f t="shared" si="12"/>
        <v>46198</v>
      </c>
      <c r="C380" s="41" t="s">
        <v>85</v>
      </c>
      <c r="D380" s="45" t="s">
        <v>86</v>
      </c>
      <c r="E380" s="45">
        <v>31774</v>
      </c>
      <c r="F380" s="45">
        <v>1</v>
      </c>
      <c r="G380" s="191">
        <v>20663033</v>
      </c>
      <c r="H380" s="54" t="s">
        <v>392</v>
      </c>
      <c r="I380" s="42"/>
      <c r="J380" s="43"/>
      <c r="K380" s="43">
        <f t="shared" si="13"/>
        <v>64.5</v>
      </c>
      <c r="L380" s="43"/>
      <c r="M380" s="43"/>
      <c r="N380" s="43"/>
      <c r="O380" s="43"/>
      <c r="P380" s="46">
        <v>64.5</v>
      </c>
      <c r="Q380" s="47"/>
      <c r="R380" s="40"/>
      <c r="S380" s="42"/>
      <c r="T380" s="41"/>
      <c r="U380" s="41"/>
      <c r="V380" s="48" t="s">
        <v>453</v>
      </c>
      <c r="W380" s="43"/>
      <c r="X380" s="44">
        <v>46198</v>
      </c>
      <c r="Y380" s="41" t="s">
        <v>454</v>
      </c>
      <c r="Z380" s="41"/>
      <c r="AA380" s="41"/>
      <c r="AB380" s="41" t="s">
        <v>937</v>
      </c>
      <c r="AC380" s="49"/>
      <c r="AD380" s="49">
        <v>1212</v>
      </c>
      <c r="AE380" s="50"/>
      <c r="AF380" s="51"/>
      <c r="AG380" s="51"/>
      <c r="AH380" s="52"/>
      <c r="AI380" s="52"/>
      <c r="AJ380" s="53"/>
      <c r="AK380" s="52"/>
      <c r="AL380" s="43">
        <v>18</v>
      </c>
      <c r="AM380" s="168" t="s">
        <v>938</v>
      </c>
      <c r="AN380" s="36"/>
      <c r="AO380" s="36"/>
      <c r="AP380" s="37"/>
    </row>
    <row r="381" spans="1:42" s="38" customFormat="1" ht="18.75" customHeight="1" x14ac:dyDescent="0.25">
      <c r="A381" s="44">
        <v>46198</v>
      </c>
      <c r="B381" s="40">
        <f t="shared" si="12"/>
        <v>46198</v>
      </c>
      <c r="C381" s="41" t="s">
        <v>85</v>
      </c>
      <c r="D381" s="45" t="s">
        <v>86</v>
      </c>
      <c r="E381" s="45">
        <v>31775</v>
      </c>
      <c r="F381" s="45">
        <v>1</v>
      </c>
      <c r="G381" s="191">
        <v>41973046</v>
      </c>
      <c r="H381" s="54" t="s">
        <v>393</v>
      </c>
      <c r="I381" s="42"/>
      <c r="J381" s="43"/>
      <c r="K381" s="43">
        <f t="shared" si="13"/>
        <v>65.2</v>
      </c>
      <c r="L381" s="43"/>
      <c r="M381" s="43"/>
      <c r="N381" s="43"/>
      <c r="O381" s="43"/>
      <c r="P381" s="46">
        <v>65.2</v>
      </c>
      <c r="Q381" s="47"/>
      <c r="R381" s="40"/>
      <c r="S381" s="42"/>
      <c r="T381" s="41"/>
      <c r="U381" s="41"/>
      <c r="V381" s="48" t="s">
        <v>453</v>
      </c>
      <c r="W381" s="43"/>
      <c r="X381" s="44">
        <v>46198</v>
      </c>
      <c r="Y381" s="41" t="s">
        <v>454</v>
      </c>
      <c r="Z381" s="41"/>
      <c r="AA381" s="41"/>
      <c r="AB381" s="41" t="s">
        <v>937</v>
      </c>
      <c r="AC381" s="49"/>
      <c r="AD381" s="49">
        <v>1212</v>
      </c>
      <c r="AE381" s="50"/>
      <c r="AF381" s="51"/>
      <c r="AG381" s="51"/>
      <c r="AH381" s="52"/>
      <c r="AI381" s="52"/>
      <c r="AJ381" s="53"/>
      <c r="AK381" s="52"/>
      <c r="AL381" s="43">
        <v>18</v>
      </c>
      <c r="AM381" s="168" t="s">
        <v>938</v>
      </c>
      <c r="AN381" s="36"/>
      <c r="AO381" s="36"/>
      <c r="AP381" s="37"/>
    </row>
    <row r="382" spans="1:42" s="38" customFormat="1" ht="18.75" customHeight="1" x14ac:dyDescent="0.25">
      <c r="A382" s="44">
        <v>46198</v>
      </c>
      <c r="B382" s="40">
        <f t="shared" si="12"/>
        <v>46198</v>
      </c>
      <c r="C382" s="41" t="s">
        <v>85</v>
      </c>
      <c r="D382" s="45" t="s">
        <v>86</v>
      </c>
      <c r="E382" s="45">
        <v>31776</v>
      </c>
      <c r="F382" s="45">
        <v>1</v>
      </c>
      <c r="G382" s="191">
        <v>20434696</v>
      </c>
      <c r="H382" s="54" t="s">
        <v>394</v>
      </c>
      <c r="I382" s="42"/>
      <c r="J382" s="43"/>
      <c r="K382" s="43">
        <f t="shared" si="13"/>
        <v>50</v>
      </c>
      <c r="L382" s="43"/>
      <c r="M382" s="43"/>
      <c r="N382" s="43"/>
      <c r="O382" s="43"/>
      <c r="P382" s="46">
        <v>50</v>
      </c>
      <c r="Q382" s="47"/>
      <c r="R382" s="40"/>
      <c r="S382" s="42"/>
      <c r="T382" s="41"/>
      <c r="U382" s="41"/>
      <c r="V382" s="48" t="s">
        <v>453</v>
      </c>
      <c r="W382" s="43"/>
      <c r="X382" s="44">
        <v>46198</v>
      </c>
      <c r="Y382" s="41" t="s">
        <v>454</v>
      </c>
      <c r="Z382" s="41"/>
      <c r="AA382" s="41"/>
      <c r="AB382" s="41" t="s">
        <v>937</v>
      </c>
      <c r="AC382" s="49"/>
      <c r="AD382" s="49">
        <v>1212</v>
      </c>
      <c r="AE382" s="50"/>
      <c r="AF382" s="51"/>
      <c r="AG382" s="51"/>
      <c r="AH382" s="52"/>
      <c r="AI382" s="52"/>
      <c r="AJ382" s="53"/>
      <c r="AK382" s="52"/>
      <c r="AL382" s="43">
        <v>18</v>
      </c>
      <c r="AM382" s="168" t="s">
        <v>938</v>
      </c>
      <c r="AN382" s="36"/>
      <c r="AO382" s="36"/>
      <c r="AP382" s="37"/>
    </row>
    <row r="383" spans="1:42" s="190" customFormat="1" ht="18.75" customHeight="1" x14ac:dyDescent="0.25">
      <c r="A383" s="172">
        <v>46198</v>
      </c>
      <c r="B383" s="173">
        <f t="shared" si="12"/>
        <v>46198</v>
      </c>
      <c r="C383" s="174" t="s">
        <v>85</v>
      </c>
      <c r="D383" s="175" t="s">
        <v>86</v>
      </c>
      <c r="E383" s="175">
        <v>31777</v>
      </c>
      <c r="F383" s="175">
        <v>1</v>
      </c>
      <c r="G383" s="192" t="s">
        <v>935</v>
      </c>
      <c r="H383" s="176" t="s">
        <v>395</v>
      </c>
      <c r="I383" s="177"/>
      <c r="J383" s="178"/>
      <c r="K383" s="178">
        <f t="shared" si="13"/>
        <v>8</v>
      </c>
      <c r="L383" s="178"/>
      <c r="M383" s="178"/>
      <c r="N383" s="178"/>
      <c r="O383" s="178"/>
      <c r="P383" s="179">
        <v>8</v>
      </c>
      <c r="Q383" s="180"/>
      <c r="R383" s="173"/>
      <c r="S383" s="177"/>
      <c r="T383" s="174"/>
      <c r="U383" s="174"/>
      <c r="V383" s="181" t="s">
        <v>453</v>
      </c>
      <c r="W383" s="178"/>
      <c r="X383" s="172">
        <v>46198</v>
      </c>
      <c r="Y383" s="174" t="s">
        <v>454</v>
      </c>
      <c r="Z383" s="174"/>
      <c r="AA383" s="174"/>
      <c r="AB383" s="174" t="s">
        <v>937</v>
      </c>
      <c r="AC383" s="182"/>
      <c r="AD383" s="182">
        <v>1212</v>
      </c>
      <c r="AE383" s="183"/>
      <c r="AF383" s="184"/>
      <c r="AG383" s="184"/>
      <c r="AH383" s="185"/>
      <c r="AI383" s="185"/>
      <c r="AJ383" s="186"/>
      <c r="AK383" s="185"/>
      <c r="AL383" s="178">
        <v>18</v>
      </c>
      <c r="AM383" s="187" t="s">
        <v>938</v>
      </c>
      <c r="AN383" s="188"/>
      <c r="AO383" s="188"/>
      <c r="AP383" s="189"/>
    </row>
    <row r="384" spans="1:42" s="38" customFormat="1" ht="18.75" customHeight="1" x14ac:dyDescent="0.25">
      <c r="A384" s="44">
        <v>46198</v>
      </c>
      <c r="B384" s="40">
        <f t="shared" si="12"/>
        <v>46198</v>
      </c>
      <c r="C384" s="41" t="s">
        <v>85</v>
      </c>
      <c r="D384" s="45" t="s">
        <v>86</v>
      </c>
      <c r="E384" s="45">
        <v>31778</v>
      </c>
      <c r="F384" s="45">
        <v>1</v>
      </c>
      <c r="G384" s="191">
        <v>60146613</v>
      </c>
      <c r="H384" s="54" t="s">
        <v>396</v>
      </c>
      <c r="I384" s="42"/>
      <c r="J384" s="43"/>
      <c r="K384" s="43">
        <f t="shared" si="13"/>
        <v>64.900000000000006</v>
      </c>
      <c r="L384" s="43"/>
      <c r="M384" s="43"/>
      <c r="N384" s="43"/>
      <c r="O384" s="43"/>
      <c r="P384" s="46">
        <v>64.900000000000006</v>
      </c>
      <c r="Q384" s="47"/>
      <c r="R384" s="40"/>
      <c r="S384" s="42"/>
      <c r="T384" s="41"/>
      <c r="U384" s="41"/>
      <c r="V384" s="48" t="s">
        <v>453</v>
      </c>
      <c r="W384" s="43"/>
      <c r="X384" s="44">
        <v>46198</v>
      </c>
      <c r="Y384" s="41" t="s">
        <v>454</v>
      </c>
      <c r="Z384" s="41"/>
      <c r="AA384" s="41"/>
      <c r="AB384" s="41" t="s">
        <v>937</v>
      </c>
      <c r="AC384" s="49"/>
      <c r="AD384" s="49">
        <v>1212</v>
      </c>
      <c r="AE384" s="50"/>
      <c r="AF384" s="51"/>
      <c r="AG384" s="51"/>
      <c r="AH384" s="52"/>
      <c r="AI384" s="52"/>
      <c r="AJ384" s="53"/>
      <c r="AK384" s="52"/>
      <c r="AL384" s="43">
        <v>18</v>
      </c>
      <c r="AM384" s="168" t="s">
        <v>938</v>
      </c>
      <c r="AN384" s="36"/>
      <c r="AO384" s="36"/>
      <c r="AP384" s="37"/>
    </row>
    <row r="385" spans="1:42" s="38" customFormat="1" ht="18.75" customHeight="1" x14ac:dyDescent="0.25">
      <c r="A385" s="44">
        <v>46198</v>
      </c>
      <c r="B385" s="40">
        <f t="shared" si="12"/>
        <v>46198</v>
      </c>
      <c r="C385" s="41" t="s">
        <v>85</v>
      </c>
      <c r="D385" s="45" t="s">
        <v>86</v>
      </c>
      <c r="E385" s="45">
        <v>31779</v>
      </c>
      <c r="F385" s="45">
        <v>1</v>
      </c>
      <c r="G385" s="191">
        <v>23462873</v>
      </c>
      <c r="H385" s="54" t="s">
        <v>397</v>
      </c>
      <c r="I385" s="42"/>
      <c r="J385" s="43"/>
      <c r="K385" s="43">
        <f t="shared" si="13"/>
        <v>93.4</v>
      </c>
      <c r="L385" s="43"/>
      <c r="M385" s="43"/>
      <c r="N385" s="43"/>
      <c r="O385" s="43"/>
      <c r="P385" s="46">
        <v>93.4</v>
      </c>
      <c r="Q385" s="47"/>
      <c r="R385" s="40"/>
      <c r="S385" s="42"/>
      <c r="T385" s="41"/>
      <c r="U385" s="41"/>
      <c r="V385" s="48" t="s">
        <v>453</v>
      </c>
      <c r="W385" s="43"/>
      <c r="X385" s="44">
        <v>46198</v>
      </c>
      <c r="Y385" s="41" t="s">
        <v>454</v>
      </c>
      <c r="Z385" s="41"/>
      <c r="AA385" s="41"/>
      <c r="AB385" s="41" t="s">
        <v>937</v>
      </c>
      <c r="AC385" s="49"/>
      <c r="AD385" s="49">
        <v>1212</v>
      </c>
      <c r="AE385" s="50"/>
      <c r="AF385" s="51"/>
      <c r="AG385" s="51"/>
      <c r="AH385" s="52"/>
      <c r="AI385" s="52"/>
      <c r="AJ385" s="53"/>
      <c r="AK385" s="52"/>
      <c r="AL385" s="43">
        <v>18</v>
      </c>
      <c r="AM385" s="168" t="s">
        <v>938</v>
      </c>
      <c r="AN385" s="36"/>
      <c r="AO385" s="36"/>
      <c r="AP385" s="37"/>
    </row>
    <row r="386" spans="1:42" s="38" customFormat="1" ht="18.75" customHeight="1" x14ac:dyDescent="0.25">
      <c r="A386" s="44">
        <v>46198</v>
      </c>
      <c r="B386" s="40">
        <f t="shared" si="12"/>
        <v>46198</v>
      </c>
      <c r="C386" s="41" t="s">
        <v>85</v>
      </c>
      <c r="D386" s="45" t="s">
        <v>86</v>
      </c>
      <c r="E386" s="45">
        <v>31780</v>
      </c>
      <c r="F386" s="45">
        <v>1</v>
      </c>
      <c r="G386" s="191">
        <v>20098034</v>
      </c>
      <c r="H386" s="54" t="s">
        <v>398</v>
      </c>
      <c r="I386" s="42"/>
      <c r="J386" s="43"/>
      <c r="K386" s="43">
        <f t="shared" si="13"/>
        <v>50</v>
      </c>
      <c r="L386" s="43"/>
      <c r="M386" s="43"/>
      <c r="N386" s="43"/>
      <c r="O386" s="43"/>
      <c r="P386" s="46">
        <v>50</v>
      </c>
      <c r="Q386" s="47"/>
      <c r="R386" s="40"/>
      <c r="S386" s="42"/>
      <c r="T386" s="41"/>
      <c r="U386" s="41"/>
      <c r="V386" s="48" t="s">
        <v>453</v>
      </c>
      <c r="W386" s="43"/>
      <c r="X386" s="44">
        <v>46198</v>
      </c>
      <c r="Y386" s="41" t="s">
        <v>454</v>
      </c>
      <c r="Z386" s="41"/>
      <c r="AA386" s="41"/>
      <c r="AB386" s="41" t="s">
        <v>937</v>
      </c>
      <c r="AC386" s="49"/>
      <c r="AD386" s="49">
        <v>1212</v>
      </c>
      <c r="AE386" s="50"/>
      <c r="AF386" s="51"/>
      <c r="AG386" s="51"/>
      <c r="AH386" s="52"/>
      <c r="AI386" s="52"/>
      <c r="AJ386" s="53"/>
      <c r="AK386" s="52"/>
      <c r="AL386" s="43">
        <v>18</v>
      </c>
      <c r="AM386" s="168" t="s">
        <v>938</v>
      </c>
      <c r="AN386" s="36"/>
      <c r="AO386" s="36"/>
      <c r="AP386" s="37"/>
    </row>
    <row r="387" spans="1:42" s="38" customFormat="1" ht="18.75" customHeight="1" x14ac:dyDescent="0.25">
      <c r="A387" s="44">
        <v>46198</v>
      </c>
      <c r="B387" s="40">
        <f t="shared" si="12"/>
        <v>46198</v>
      </c>
      <c r="C387" s="41" t="s">
        <v>85</v>
      </c>
      <c r="D387" s="45" t="s">
        <v>86</v>
      </c>
      <c r="E387" s="45">
        <v>31781</v>
      </c>
      <c r="F387" s="45">
        <v>1</v>
      </c>
      <c r="G387" s="191">
        <v>41419459</v>
      </c>
      <c r="H387" s="54" t="s">
        <v>399</v>
      </c>
      <c r="I387" s="42"/>
      <c r="J387" s="43"/>
      <c r="K387" s="43">
        <f t="shared" si="13"/>
        <v>125</v>
      </c>
      <c r="L387" s="43"/>
      <c r="M387" s="43"/>
      <c r="N387" s="43"/>
      <c r="O387" s="43"/>
      <c r="P387" s="46">
        <v>125</v>
      </c>
      <c r="Q387" s="47"/>
      <c r="R387" s="40"/>
      <c r="S387" s="42"/>
      <c r="T387" s="41"/>
      <c r="U387" s="41"/>
      <c r="V387" s="48" t="s">
        <v>453</v>
      </c>
      <c r="W387" s="43"/>
      <c r="X387" s="44">
        <v>46198</v>
      </c>
      <c r="Y387" s="41" t="s">
        <v>454</v>
      </c>
      <c r="Z387" s="41"/>
      <c r="AA387" s="41"/>
      <c r="AB387" s="41" t="s">
        <v>937</v>
      </c>
      <c r="AC387" s="49"/>
      <c r="AD387" s="49">
        <v>1212</v>
      </c>
      <c r="AE387" s="50"/>
      <c r="AF387" s="51"/>
      <c r="AG387" s="51"/>
      <c r="AH387" s="52"/>
      <c r="AI387" s="52"/>
      <c r="AJ387" s="53"/>
      <c r="AK387" s="52"/>
      <c r="AL387" s="43">
        <v>18</v>
      </c>
      <c r="AM387" s="168" t="s">
        <v>938</v>
      </c>
      <c r="AN387" s="36"/>
      <c r="AO387" s="36"/>
      <c r="AP387" s="37"/>
    </row>
    <row r="388" spans="1:42" s="38" customFormat="1" ht="18.75" customHeight="1" x14ac:dyDescent="0.25">
      <c r="A388" s="44">
        <v>46198</v>
      </c>
      <c r="B388" s="40">
        <f t="shared" si="12"/>
        <v>46198</v>
      </c>
      <c r="C388" s="41" t="s">
        <v>85</v>
      </c>
      <c r="D388" s="45" t="s">
        <v>86</v>
      </c>
      <c r="E388" s="45">
        <v>31782</v>
      </c>
      <c r="F388" s="45">
        <v>1</v>
      </c>
      <c r="G388" s="191">
        <v>20108280</v>
      </c>
      <c r="H388" s="54" t="s">
        <v>400</v>
      </c>
      <c r="I388" s="42"/>
      <c r="J388" s="43"/>
      <c r="K388" s="43">
        <f t="shared" si="13"/>
        <v>25</v>
      </c>
      <c r="L388" s="43"/>
      <c r="M388" s="43"/>
      <c r="N388" s="43"/>
      <c r="O388" s="43"/>
      <c r="P388" s="46">
        <v>25</v>
      </c>
      <c r="Q388" s="47"/>
      <c r="R388" s="40"/>
      <c r="S388" s="42"/>
      <c r="T388" s="41"/>
      <c r="U388" s="41"/>
      <c r="V388" s="48" t="s">
        <v>453</v>
      </c>
      <c r="W388" s="43"/>
      <c r="X388" s="44">
        <v>46198</v>
      </c>
      <c r="Y388" s="41" t="s">
        <v>454</v>
      </c>
      <c r="Z388" s="41"/>
      <c r="AA388" s="41"/>
      <c r="AB388" s="41" t="s">
        <v>937</v>
      </c>
      <c r="AC388" s="49"/>
      <c r="AD388" s="49">
        <v>1212</v>
      </c>
      <c r="AE388" s="50"/>
      <c r="AF388" s="51"/>
      <c r="AG388" s="51"/>
      <c r="AH388" s="52"/>
      <c r="AI388" s="52"/>
      <c r="AJ388" s="53"/>
      <c r="AK388" s="52"/>
      <c r="AL388" s="43">
        <v>18</v>
      </c>
      <c r="AM388" s="168" t="s">
        <v>938</v>
      </c>
      <c r="AN388" s="36"/>
      <c r="AO388" s="36"/>
      <c r="AP388" s="37"/>
    </row>
    <row r="389" spans="1:42" s="38" customFormat="1" ht="18.75" customHeight="1" x14ac:dyDescent="0.25">
      <c r="A389" s="44">
        <v>46198</v>
      </c>
      <c r="B389" s="40">
        <f t="shared" si="12"/>
        <v>46198</v>
      </c>
      <c r="C389" s="41" t="s">
        <v>85</v>
      </c>
      <c r="D389" s="45" t="s">
        <v>86</v>
      </c>
      <c r="E389" s="45">
        <v>31783</v>
      </c>
      <c r="F389" s="45">
        <v>1</v>
      </c>
      <c r="G389" s="191">
        <v>19989104</v>
      </c>
      <c r="H389" s="54" t="s">
        <v>401</v>
      </c>
      <c r="I389" s="42"/>
      <c r="J389" s="43"/>
      <c r="K389" s="43">
        <f t="shared" si="13"/>
        <v>12.5</v>
      </c>
      <c r="L389" s="43"/>
      <c r="M389" s="43"/>
      <c r="N389" s="43"/>
      <c r="O389" s="43"/>
      <c r="P389" s="46">
        <v>12.5</v>
      </c>
      <c r="Q389" s="47"/>
      <c r="R389" s="40"/>
      <c r="S389" s="42"/>
      <c r="T389" s="41"/>
      <c r="U389" s="41"/>
      <c r="V389" s="48" t="s">
        <v>453</v>
      </c>
      <c r="W389" s="43"/>
      <c r="X389" s="44">
        <v>46198</v>
      </c>
      <c r="Y389" s="41" t="s">
        <v>454</v>
      </c>
      <c r="Z389" s="41"/>
      <c r="AA389" s="41"/>
      <c r="AB389" s="41" t="s">
        <v>937</v>
      </c>
      <c r="AC389" s="49"/>
      <c r="AD389" s="49">
        <v>1212</v>
      </c>
      <c r="AE389" s="50"/>
      <c r="AF389" s="51"/>
      <c r="AG389" s="51"/>
      <c r="AH389" s="52"/>
      <c r="AI389" s="52"/>
      <c r="AJ389" s="53"/>
      <c r="AK389" s="52"/>
      <c r="AL389" s="43">
        <v>18</v>
      </c>
      <c r="AM389" s="168" t="s">
        <v>938</v>
      </c>
      <c r="AN389" s="36"/>
      <c r="AO389" s="36"/>
      <c r="AP389" s="37"/>
    </row>
    <row r="390" spans="1:42" s="38" customFormat="1" ht="18.75" customHeight="1" x14ac:dyDescent="0.25">
      <c r="A390" s="44">
        <v>46198</v>
      </c>
      <c r="B390" s="40">
        <f t="shared" si="12"/>
        <v>46198</v>
      </c>
      <c r="C390" s="41" t="s">
        <v>85</v>
      </c>
      <c r="D390" s="45" t="s">
        <v>86</v>
      </c>
      <c r="E390" s="45">
        <v>31784</v>
      </c>
      <c r="F390" s="45">
        <v>1</v>
      </c>
      <c r="G390" s="191">
        <v>44362091</v>
      </c>
      <c r="H390" s="54" t="s">
        <v>402</v>
      </c>
      <c r="I390" s="42"/>
      <c r="J390" s="43"/>
      <c r="K390" s="43">
        <f t="shared" si="13"/>
        <v>12.5</v>
      </c>
      <c r="L390" s="43"/>
      <c r="M390" s="43"/>
      <c r="N390" s="43"/>
      <c r="O390" s="43"/>
      <c r="P390" s="46">
        <v>12.5</v>
      </c>
      <c r="Q390" s="47"/>
      <c r="R390" s="40"/>
      <c r="S390" s="42"/>
      <c r="T390" s="41"/>
      <c r="U390" s="41"/>
      <c r="V390" s="48" t="s">
        <v>453</v>
      </c>
      <c r="W390" s="43"/>
      <c r="X390" s="44">
        <v>46198</v>
      </c>
      <c r="Y390" s="41" t="s">
        <v>454</v>
      </c>
      <c r="Z390" s="41"/>
      <c r="AA390" s="41"/>
      <c r="AB390" s="41" t="s">
        <v>937</v>
      </c>
      <c r="AC390" s="49"/>
      <c r="AD390" s="49">
        <v>1212</v>
      </c>
      <c r="AE390" s="50"/>
      <c r="AF390" s="51"/>
      <c r="AG390" s="51"/>
      <c r="AH390" s="52"/>
      <c r="AI390" s="52"/>
      <c r="AJ390" s="53"/>
      <c r="AK390" s="52"/>
      <c r="AL390" s="43">
        <v>18</v>
      </c>
      <c r="AM390" s="168" t="s">
        <v>938</v>
      </c>
      <c r="AN390" s="36"/>
      <c r="AO390" s="36"/>
      <c r="AP390" s="37"/>
    </row>
    <row r="391" spans="1:42" s="38" customFormat="1" ht="18.75" customHeight="1" x14ac:dyDescent="0.25">
      <c r="A391" s="44">
        <v>46198</v>
      </c>
      <c r="B391" s="40">
        <f t="shared" si="12"/>
        <v>46198</v>
      </c>
      <c r="C391" s="41" t="s">
        <v>85</v>
      </c>
      <c r="D391" s="45" t="s">
        <v>86</v>
      </c>
      <c r="E391" s="45">
        <v>31785</v>
      </c>
      <c r="F391" s="45">
        <v>1</v>
      </c>
      <c r="G391" s="191">
        <v>41320724</v>
      </c>
      <c r="H391" s="54" t="s">
        <v>403</v>
      </c>
      <c r="I391" s="42"/>
      <c r="J391" s="43"/>
      <c r="K391" s="43">
        <f t="shared" si="13"/>
        <v>32.5</v>
      </c>
      <c r="L391" s="43"/>
      <c r="M391" s="43"/>
      <c r="N391" s="43"/>
      <c r="O391" s="43"/>
      <c r="P391" s="46">
        <v>32.5</v>
      </c>
      <c r="Q391" s="47"/>
      <c r="R391" s="40"/>
      <c r="S391" s="42"/>
      <c r="T391" s="41"/>
      <c r="U391" s="41"/>
      <c r="V391" s="48" t="s">
        <v>453</v>
      </c>
      <c r="W391" s="43"/>
      <c r="X391" s="44">
        <v>46198</v>
      </c>
      <c r="Y391" s="41" t="s">
        <v>454</v>
      </c>
      <c r="Z391" s="41"/>
      <c r="AA391" s="41"/>
      <c r="AB391" s="41" t="s">
        <v>937</v>
      </c>
      <c r="AC391" s="49"/>
      <c r="AD391" s="49">
        <v>1212</v>
      </c>
      <c r="AE391" s="50"/>
      <c r="AF391" s="51"/>
      <c r="AG391" s="51"/>
      <c r="AH391" s="52"/>
      <c r="AI391" s="52"/>
      <c r="AJ391" s="53"/>
      <c r="AK391" s="52"/>
      <c r="AL391" s="43">
        <v>18</v>
      </c>
      <c r="AM391" s="168" t="s">
        <v>938</v>
      </c>
      <c r="AN391" s="36"/>
      <c r="AO391" s="36"/>
      <c r="AP391" s="37"/>
    </row>
    <row r="392" spans="1:42" s="38" customFormat="1" ht="18.75" customHeight="1" x14ac:dyDescent="0.25">
      <c r="A392" s="44">
        <v>46198</v>
      </c>
      <c r="B392" s="40">
        <f t="shared" si="12"/>
        <v>46198</v>
      </c>
      <c r="C392" s="41" t="s">
        <v>85</v>
      </c>
      <c r="D392" s="45" t="s">
        <v>86</v>
      </c>
      <c r="E392" s="45">
        <v>31786</v>
      </c>
      <c r="F392" s="45">
        <v>1</v>
      </c>
      <c r="G392" s="191">
        <v>21284036</v>
      </c>
      <c r="H392" s="54" t="s">
        <v>404</v>
      </c>
      <c r="I392" s="42"/>
      <c r="J392" s="43"/>
      <c r="K392" s="43">
        <f t="shared" si="13"/>
        <v>25</v>
      </c>
      <c r="L392" s="43"/>
      <c r="M392" s="43"/>
      <c r="N392" s="43"/>
      <c r="O392" s="43"/>
      <c r="P392" s="46">
        <v>25</v>
      </c>
      <c r="Q392" s="47"/>
      <c r="R392" s="40"/>
      <c r="S392" s="42"/>
      <c r="T392" s="41"/>
      <c r="U392" s="41"/>
      <c r="V392" s="48" t="s">
        <v>453</v>
      </c>
      <c r="W392" s="43"/>
      <c r="X392" s="44">
        <v>46198</v>
      </c>
      <c r="Y392" s="41" t="s">
        <v>454</v>
      </c>
      <c r="Z392" s="41"/>
      <c r="AA392" s="41"/>
      <c r="AB392" s="41" t="s">
        <v>937</v>
      </c>
      <c r="AC392" s="49"/>
      <c r="AD392" s="49">
        <v>1212</v>
      </c>
      <c r="AE392" s="50"/>
      <c r="AF392" s="51"/>
      <c r="AG392" s="51"/>
      <c r="AH392" s="52"/>
      <c r="AI392" s="52"/>
      <c r="AJ392" s="53"/>
      <c r="AK392" s="52"/>
      <c r="AL392" s="43">
        <v>18</v>
      </c>
      <c r="AM392" s="168" t="s">
        <v>938</v>
      </c>
      <c r="AN392" s="36"/>
      <c r="AO392" s="36"/>
      <c r="AP392" s="37"/>
    </row>
    <row r="393" spans="1:42" s="38" customFormat="1" ht="18.75" customHeight="1" x14ac:dyDescent="0.25">
      <c r="A393" s="44">
        <v>46198</v>
      </c>
      <c r="B393" s="40">
        <f t="shared" si="12"/>
        <v>46198</v>
      </c>
      <c r="C393" s="41" t="s">
        <v>85</v>
      </c>
      <c r="D393" s="45" t="s">
        <v>86</v>
      </c>
      <c r="E393" s="45">
        <v>31787</v>
      </c>
      <c r="F393" s="45">
        <v>1</v>
      </c>
      <c r="G393" s="191">
        <v>60388514</v>
      </c>
      <c r="H393" s="54" t="s">
        <v>405</v>
      </c>
      <c r="I393" s="42"/>
      <c r="J393" s="43"/>
      <c r="K393" s="43">
        <f t="shared" si="13"/>
        <v>14.9</v>
      </c>
      <c r="L393" s="43"/>
      <c r="M393" s="43"/>
      <c r="N393" s="43"/>
      <c r="O393" s="43"/>
      <c r="P393" s="46">
        <v>14.9</v>
      </c>
      <c r="Q393" s="47"/>
      <c r="R393" s="40"/>
      <c r="S393" s="42"/>
      <c r="T393" s="41"/>
      <c r="U393" s="41"/>
      <c r="V393" s="48" t="s">
        <v>453</v>
      </c>
      <c r="W393" s="43"/>
      <c r="X393" s="44">
        <v>46198</v>
      </c>
      <c r="Y393" s="41" t="s">
        <v>454</v>
      </c>
      <c r="Z393" s="41"/>
      <c r="AA393" s="41"/>
      <c r="AB393" s="41" t="s">
        <v>937</v>
      </c>
      <c r="AC393" s="49"/>
      <c r="AD393" s="49">
        <v>1212</v>
      </c>
      <c r="AE393" s="50"/>
      <c r="AF393" s="51"/>
      <c r="AG393" s="51"/>
      <c r="AH393" s="52"/>
      <c r="AI393" s="52"/>
      <c r="AJ393" s="53"/>
      <c r="AK393" s="52"/>
      <c r="AL393" s="43">
        <v>18</v>
      </c>
      <c r="AM393" s="168" t="s">
        <v>938</v>
      </c>
      <c r="AN393" s="36"/>
      <c r="AO393" s="36"/>
      <c r="AP393" s="37"/>
    </row>
    <row r="394" spans="1:42" s="38" customFormat="1" ht="18.75" customHeight="1" x14ac:dyDescent="0.25">
      <c r="A394" s="44">
        <v>46199</v>
      </c>
      <c r="B394" s="40">
        <f t="shared" si="12"/>
        <v>46199</v>
      </c>
      <c r="C394" s="41" t="s">
        <v>85</v>
      </c>
      <c r="D394" s="45" t="s">
        <v>86</v>
      </c>
      <c r="E394" s="45">
        <v>31788</v>
      </c>
      <c r="F394" s="45">
        <v>6</v>
      </c>
      <c r="G394" s="191">
        <v>20600803647</v>
      </c>
      <c r="H394" s="54" t="s">
        <v>406</v>
      </c>
      <c r="I394" s="42"/>
      <c r="J394" s="43"/>
      <c r="K394" s="43">
        <f t="shared" si="13"/>
        <v>25</v>
      </c>
      <c r="L394" s="43"/>
      <c r="M394" s="43"/>
      <c r="N394" s="43"/>
      <c r="O394" s="43"/>
      <c r="P394" s="46">
        <v>25</v>
      </c>
      <c r="Q394" s="47"/>
      <c r="R394" s="40"/>
      <c r="S394" s="42"/>
      <c r="T394" s="41"/>
      <c r="U394" s="41"/>
      <c r="V394" s="48" t="s">
        <v>453</v>
      </c>
      <c r="W394" s="43"/>
      <c r="X394" s="44">
        <v>46199</v>
      </c>
      <c r="Y394" s="41" t="s">
        <v>454</v>
      </c>
      <c r="Z394" s="41"/>
      <c r="AA394" s="41"/>
      <c r="AB394" s="41" t="s">
        <v>937</v>
      </c>
      <c r="AC394" s="49"/>
      <c r="AD394" s="49">
        <v>1212</v>
      </c>
      <c r="AE394" s="50"/>
      <c r="AF394" s="51"/>
      <c r="AG394" s="51"/>
      <c r="AH394" s="52"/>
      <c r="AI394" s="52"/>
      <c r="AJ394" s="53"/>
      <c r="AK394" s="52"/>
      <c r="AL394" s="43">
        <v>18</v>
      </c>
      <c r="AM394" s="168" t="s">
        <v>938</v>
      </c>
      <c r="AN394" s="36"/>
      <c r="AO394" s="36"/>
      <c r="AP394" s="37"/>
    </row>
    <row r="395" spans="1:42" s="38" customFormat="1" ht="18.75" customHeight="1" x14ac:dyDescent="0.25">
      <c r="A395" s="44">
        <v>46199</v>
      </c>
      <c r="B395" s="40">
        <f t="shared" si="12"/>
        <v>46199</v>
      </c>
      <c r="C395" s="41" t="s">
        <v>85</v>
      </c>
      <c r="D395" s="45" t="s">
        <v>86</v>
      </c>
      <c r="E395" s="45">
        <v>31789</v>
      </c>
      <c r="F395" s="45">
        <v>1</v>
      </c>
      <c r="G395" s="191">
        <v>71066291</v>
      </c>
      <c r="H395" s="54" t="s">
        <v>407</v>
      </c>
      <c r="I395" s="42"/>
      <c r="J395" s="43"/>
      <c r="K395" s="43">
        <f t="shared" si="13"/>
        <v>10</v>
      </c>
      <c r="L395" s="43"/>
      <c r="M395" s="43"/>
      <c r="N395" s="43"/>
      <c r="O395" s="43"/>
      <c r="P395" s="46">
        <v>10</v>
      </c>
      <c r="Q395" s="47"/>
      <c r="R395" s="40"/>
      <c r="S395" s="42"/>
      <c r="T395" s="41"/>
      <c r="U395" s="41"/>
      <c r="V395" s="48" t="s">
        <v>453</v>
      </c>
      <c r="W395" s="43"/>
      <c r="X395" s="44">
        <v>46199</v>
      </c>
      <c r="Y395" s="41" t="s">
        <v>454</v>
      </c>
      <c r="Z395" s="41"/>
      <c r="AA395" s="41"/>
      <c r="AB395" s="41" t="s">
        <v>937</v>
      </c>
      <c r="AC395" s="49"/>
      <c r="AD395" s="49">
        <v>1212</v>
      </c>
      <c r="AE395" s="50"/>
      <c r="AF395" s="51"/>
      <c r="AG395" s="51"/>
      <c r="AH395" s="52"/>
      <c r="AI395" s="52"/>
      <c r="AJ395" s="53"/>
      <c r="AK395" s="52"/>
      <c r="AL395" s="43">
        <v>18</v>
      </c>
      <c r="AM395" s="168" t="s">
        <v>938</v>
      </c>
      <c r="AN395" s="36"/>
      <c r="AO395" s="36"/>
      <c r="AP395" s="37"/>
    </row>
    <row r="396" spans="1:42" s="38" customFormat="1" ht="18.75" customHeight="1" x14ac:dyDescent="0.25">
      <c r="A396" s="44">
        <v>46199</v>
      </c>
      <c r="B396" s="40">
        <f t="shared" si="12"/>
        <v>46199</v>
      </c>
      <c r="C396" s="41" t="s">
        <v>85</v>
      </c>
      <c r="D396" s="45" t="s">
        <v>86</v>
      </c>
      <c r="E396" s="45">
        <v>31790</v>
      </c>
      <c r="F396" s="45">
        <v>1</v>
      </c>
      <c r="G396" s="191">
        <v>73624278</v>
      </c>
      <c r="H396" s="54" t="s">
        <v>408</v>
      </c>
      <c r="I396" s="42"/>
      <c r="J396" s="43"/>
      <c r="K396" s="43">
        <f t="shared" si="13"/>
        <v>43.4</v>
      </c>
      <c r="L396" s="43"/>
      <c r="M396" s="43"/>
      <c r="N396" s="43"/>
      <c r="O396" s="43"/>
      <c r="P396" s="46">
        <v>43.4</v>
      </c>
      <c r="Q396" s="47"/>
      <c r="R396" s="40"/>
      <c r="S396" s="42"/>
      <c r="T396" s="41"/>
      <c r="U396" s="41"/>
      <c r="V396" s="48" t="s">
        <v>453</v>
      </c>
      <c r="W396" s="43"/>
      <c r="X396" s="44">
        <v>46199</v>
      </c>
      <c r="Y396" s="41" t="s">
        <v>454</v>
      </c>
      <c r="Z396" s="41"/>
      <c r="AA396" s="41"/>
      <c r="AB396" s="41" t="s">
        <v>937</v>
      </c>
      <c r="AC396" s="49"/>
      <c r="AD396" s="49">
        <v>1212</v>
      </c>
      <c r="AE396" s="50"/>
      <c r="AF396" s="51"/>
      <c r="AG396" s="51"/>
      <c r="AH396" s="52"/>
      <c r="AI396" s="52"/>
      <c r="AJ396" s="53"/>
      <c r="AK396" s="52"/>
      <c r="AL396" s="43">
        <v>18</v>
      </c>
      <c r="AM396" s="168" t="s">
        <v>938</v>
      </c>
      <c r="AN396" s="36"/>
      <c r="AO396" s="36"/>
      <c r="AP396" s="37"/>
    </row>
    <row r="397" spans="1:42" s="38" customFormat="1" ht="18.75" customHeight="1" x14ac:dyDescent="0.25">
      <c r="A397" s="44">
        <v>46199</v>
      </c>
      <c r="B397" s="40">
        <f t="shared" si="12"/>
        <v>46199</v>
      </c>
      <c r="C397" s="41" t="s">
        <v>85</v>
      </c>
      <c r="D397" s="45" t="s">
        <v>86</v>
      </c>
      <c r="E397" s="45">
        <v>31791</v>
      </c>
      <c r="F397" s="45">
        <v>6</v>
      </c>
      <c r="G397" s="191">
        <v>20608220233</v>
      </c>
      <c r="H397" s="54" t="s">
        <v>409</v>
      </c>
      <c r="I397" s="42"/>
      <c r="J397" s="43"/>
      <c r="K397" s="43">
        <f t="shared" si="13"/>
        <v>31.5</v>
      </c>
      <c r="L397" s="43"/>
      <c r="M397" s="43"/>
      <c r="N397" s="43"/>
      <c r="O397" s="43"/>
      <c r="P397" s="46">
        <v>31.5</v>
      </c>
      <c r="Q397" s="47"/>
      <c r="R397" s="40"/>
      <c r="S397" s="42"/>
      <c r="T397" s="41"/>
      <c r="U397" s="41"/>
      <c r="V397" s="48" t="s">
        <v>453</v>
      </c>
      <c r="W397" s="43"/>
      <c r="X397" s="44">
        <v>46199</v>
      </c>
      <c r="Y397" s="41" t="s">
        <v>454</v>
      </c>
      <c r="Z397" s="41"/>
      <c r="AA397" s="41"/>
      <c r="AB397" s="41" t="s">
        <v>937</v>
      </c>
      <c r="AC397" s="49"/>
      <c r="AD397" s="49">
        <v>1212</v>
      </c>
      <c r="AE397" s="50"/>
      <c r="AF397" s="51"/>
      <c r="AG397" s="51"/>
      <c r="AH397" s="52"/>
      <c r="AI397" s="52"/>
      <c r="AJ397" s="53"/>
      <c r="AK397" s="52"/>
      <c r="AL397" s="43">
        <v>18</v>
      </c>
      <c r="AM397" s="168" t="s">
        <v>938</v>
      </c>
      <c r="AN397" s="36"/>
      <c r="AO397" s="36"/>
      <c r="AP397" s="37"/>
    </row>
    <row r="398" spans="1:42" s="38" customFormat="1" ht="18.75" customHeight="1" x14ac:dyDescent="0.25">
      <c r="A398" s="44">
        <v>46199</v>
      </c>
      <c r="B398" s="40">
        <f t="shared" si="12"/>
        <v>46199</v>
      </c>
      <c r="C398" s="41" t="s">
        <v>85</v>
      </c>
      <c r="D398" s="45" t="s">
        <v>86</v>
      </c>
      <c r="E398" s="45">
        <v>31792</v>
      </c>
      <c r="F398" s="45">
        <v>1</v>
      </c>
      <c r="G398" s="191">
        <v>46431380</v>
      </c>
      <c r="H398" s="54" t="s">
        <v>410</v>
      </c>
      <c r="I398" s="42"/>
      <c r="J398" s="43"/>
      <c r="K398" s="43">
        <f t="shared" si="13"/>
        <v>10</v>
      </c>
      <c r="L398" s="43"/>
      <c r="M398" s="43"/>
      <c r="N398" s="43"/>
      <c r="O398" s="43"/>
      <c r="P398" s="46">
        <v>10</v>
      </c>
      <c r="Q398" s="47"/>
      <c r="R398" s="40"/>
      <c r="S398" s="42"/>
      <c r="T398" s="41"/>
      <c r="U398" s="41"/>
      <c r="V398" s="48" t="s">
        <v>453</v>
      </c>
      <c r="W398" s="43"/>
      <c r="X398" s="44">
        <v>46199</v>
      </c>
      <c r="Y398" s="41" t="s">
        <v>454</v>
      </c>
      <c r="Z398" s="41"/>
      <c r="AA398" s="41"/>
      <c r="AB398" s="41" t="s">
        <v>937</v>
      </c>
      <c r="AC398" s="49"/>
      <c r="AD398" s="49">
        <v>1212</v>
      </c>
      <c r="AE398" s="50"/>
      <c r="AF398" s="51"/>
      <c r="AG398" s="51"/>
      <c r="AH398" s="52"/>
      <c r="AI398" s="52"/>
      <c r="AJ398" s="53"/>
      <c r="AK398" s="52"/>
      <c r="AL398" s="43">
        <v>18</v>
      </c>
      <c r="AM398" s="168" t="s">
        <v>938</v>
      </c>
      <c r="AN398" s="36"/>
      <c r="AO398" s="36"/>
      <c r="AP398" s="37"/>
    </row>
    <row r="399" spans="1:42" s="38" customFormat="1" ht="18.75" customHeight="1" x14ac:dyDescent="0.25">
      <c r="A399" s="44">
        <v>46199</v>
      </c>
      <c r="B399" s="40">
        <f t="shared" si="12"/>
        <v>46199</v>
      </c>
      <c r="C399" s="41" t="s">
        <v>85</v>
      </c>
      <c r="D399" s="45" t="s">
        <v>86</v>
      </c>
      <c r="E399" s="45">
        <v>31793</v>
      </c>
      <c r="F399" s="45">
        <v>6</v>
      </c>
      <c r="G399" s="191">
        <v>20568173016</v>
      </c>
      <c r="H399" s="54" t="s">
        <v>116</v>
      </c>
      <c r="I399" s="42"/>
      <c r="J399" s="43"/>
      <c r="K399" s="43">
        <f t="shared" si="13"/>
        <v>20</v>
      </c>
      <c r="L399" s="43"/>
      <c r="M399" s="43"/>
      <c r="N399" s="43"/>
      <c r="O399" s="43"/>
      <c r="P399" s="46">
        <v>20</v>
      </c>
      <c r="Q399" s="47"/>
      <c r="R399" s="40"/>
      <c r="S399" s="42"/>
      <c r="T399" s="41"/>
      <c r="U399" s="41"/>
      <c r="V399" s="48" t="s">
        <v>453</v>
      </c>
      <c r="W399" s="43"/>
      <c r="X399" s="44">
        <v>46199</v>
      </c>
      <c r="Y399" s="41" t="s">
        <v>454</v>
      </c>
      <c r="Z399" s="41"/>
      <c r="AA399" s="41"/>
      <c r="AB399" s="41" t="s">
        <v>937</v>
      </c>
      <c r="AC399" s="49"/>
      <c r="AD399" s="49">
        <v>1212</v>
      </c>
      <c r="AE399" s="50"/>
      <c r="AF399" s="51"/>
      <c r="AG399" s="51"/>
      <c r="AH399" s="52"/>
      <c r="AI399" s="52"/>
      <c r="AJ399" s="53"/>
      <c r="AK399" s="52"/>
      <c r="AL399" s="43">
        <v>18</v>
      </c>
      <c r="AM399" s="168" t="s">
        <v>938</v>
      </c>
      <c r="AN399" s="36"/>
      <c r="AO399" s="36"/>
      <c r="AP399" s="37"/>
    </row>
    <row r="400" spans="1:42" s="38" customFormat="1" ht="18.75" customHeight="1" x14ac:dyDescent="0.25">
      <c r="A400" s="44">
        <v>46199</v>
      </c>
      <c r="B400" s="40">
        <f t="shared" si="12"/>
        <v>46199</v>
      </c>
      <c r="C400" s="41" t="s">
        <v>85</v>
      </c>
      <c r="D400" s="45" t="s">
        <v>86</v>
      </c>
      <c r="E400" s="45">
        <v>31794</v>
      </c>
      <c r="F400" s="45">
        <v>1</v>
      </c>
      <c r="G400" s="191">
        <v>20712263</v>
      </c>
      <c r="H400" s="54" t="s">
        <v>411</v>
      </c>
      <c r="I400" s="42"/>
      <c r="J400" s="43"/>
      <c r="K400" s="43">
        <f t="shared" si="13"/>
        <v>103.4</v>
      </c>
      <c r="L400" s="43"/>
      <c r="M400" s="43"/>
      <c r="N400" s="43"/>
      <c r="O400" s="43"/>
      <c r="P400" s="46">
        <v>103.4</v>
      </c>
      <c r="Q400" s="47"/>
      <c r="R400" s="40"/>
      <c r="S400" s="42"/>
      <c r="T400" s="41"/>
      <c r="U400" s="41"/>
      <c r="V400" s="48" t="s">
        <v>453</v>
      </c>
      <c r="W400" s="43"/>
      <c r="X400" s="44">
        <v>46199</v>
      </c>
      <c r="Y400" s="41" t="s">
        <v>454</v>
      </c>
      <c r="Z400" s="41"/>
      <c r="AA400" s="41"/>
      <c r="AB400" s="41" t="s">
        <v>937</v>
      </c>
      <c r="AC400" s="49"/>
      <c r="AD400" s="49">
        <v>1212</v>
      </c>
      <c r="AE400" s="50"/>
      <c r="AF400" s="51"/>
      <c r="AG400" s="51"/>
      <c r="AH400" s="52"/>
      <c r="AI400" s="52"/>
      <c r="AJ400" s="53"/>
      <c r="AK400" s="52"/>
      <c r="AL400" s="43">
        <v>18</v>
      </c>
      <c r="AM400" s="168" t="s">
        <v>938</v>
      </c>
      <c r="AN400" s="36"/>
      <c r="AO400" s="36"/>
      <c r="AP400" s="37"/>
    </row>
    <row r="401" spans="1:42" s="38" customFormat="1" ht="18.75" customHeight="1" x14ac:dyDescent="0.25">
      <c r="A401" s="44">
        <v>46199</v>
      </c>
      <c r="B401" s="40">
        <f t="shared" si="12"/>
        <v>46199</v>
      </c>
      <c r="C401" s="41" t="s">
        <v>85</v>
      </c>
      <c r="D401" s="45" t="s">
        <v>86</v>
      </c>
      <c r="E401" s="45">
        <v>31795</v>
      </c>
      <c r="F401" s="45">
        <v>1</v>
      </c>
      <c r="G401" s="191">
        <v>21281916</v>
      </c>
      <c r="H401" s="54" t="s">
        <v>412</v>
      </c>
      <c r="I401" s="42"/>
      <c r="J401" s="43"/>
      <c r="K401" s="43">
        <f t="shared" si="13"/>
        <v>20</v>
      </c>
      <c r="L401" s="43"/>
      <c r="M401" s="43"/>
      <c r="N401" s="43"/>
      <c r="O401" s="43"/>
      <c r="P401" s="46">
        <v>20</v>
      </c>
      <c r="Q401" s="47"/>
      <c r="R401" s="40"/>
      <c r="S401" s="42"/>
      <c r="T401" s="41"/>
      <c r="U401" s="41"/>
      <c r="V401" s="48" t="s">
        <v>453</v>
      </c>
      <c r="W401" s="43"/>
      <c r="X401" s="44">
        <v>46199</v>
      </c>
      <c r="Y401" s="41" t="s">
        <v>454</v>
      </c>
      <c r="Z401" s="41"/>
      <c r="AA401" s="41"/>
      <c r="AB401" s="41" t="s">
        <v>937</v>
      </c>
      <c r="AC401" s="49"/>
      <c r="AD401" s="49">
        <v>1212</v>
      </c>
      <c r="AE401" s="50"/>
      <c r="AF401" s="51"/>
      <c r="AG401" s="51"/>
      <c r="AH401" s="52"/>
      <c r="AI401" s="52"/>
      <c r="AJ401" s="53"/>
      <c r="AK401" s="52"/>
      <c r="AL401" s="43">
        <v>18</v>
      </c>
      <c r="AM401" s="168" t="s">
        <v>938</v>
      </c>
      <c r="AN401" s="36"/>
      <c r="AO401" s="36"/>
      <c r="AP401" s="37"/>
    </row>
    <row r="402" spans="1:42" s="38" customFormat="1" ht="18.75" customHeight="1" x14ac:dyDescent="0.25">
      <c r="A402" s="44">
        <v>46199</v>
      </c>
      <c r="B402" s="40">
        <f t="shared" si="12"/>
        <v>46199</v>
      </c>
      <c r="C402" s="41" t="s">
        <v>85</v>
      </c>
      <c r="D402" s="45" t="s">
        <v>86</v>
      </c>
      <c r="E402" s="45">
        <v>31796</v>
      </c>
      <c r="F402" s="45">
        <v>1</v>
      </c>
      <c r="G402" s="191">
        <v>20887327</v>
      </c>
      <c r="H402" s="54" t="s">
        <v>413</v>
      </c>
      <c r="I402" s="42"/>
      <c r="J402" s="43"/>
      <c r="K402" s="43">
        <f t="shared" si="13"/>
        <v>57.5</v>
      </c>
      <c r="L402" s="43"/>
      <c r="M402" s="43"/>
      <c r="N402" s="43"/>
      <c r="O402" s="43"/>
      <c r="P402" s="46">
        <v>57.5</v>
      </c>
      <c r="Q402" s="47"/>
      <c r="R402" s="40"/>
      <c r="S402" s="42"/>
      <c r="T402" s="41"/>
      <c r="U402" s="41"/>
      <c r="V402" s="48" t="s">
        <v>453</v>
      </c>
      <c r="W402" s="43"/>
      <c r="X402" s="44">
        <v>46199</v>
      </c>
      <c r="Y402" s="41" t="s">
        <v>454</v>
      </c>
      <c r="Z402" s="41"/>
      <c r="AA402" s="41"/>
      <c r="AB402" s="41" t="s">
        <v>937</v>
      </c>
      <c r="AC402" s="49"/>
      <c r="AD402" s="49">
        <v>1212</v>
      </c>
      <c r="AE402" s="50"/>
      <c r="AF402" s="51"/>
      <c r="AG402" s="51"/>
      <c r="AH402" s="52"/>
      <c r="AI402" s="52"/>
      <c r="AJ402" s="53"/>
      <c r="AK402" s="52"/>
      <c r="AL402" s="43">
        <v>18</v>
      </c>
      <c r="AM402" s="168" t="s">
        <v>938</v>
      </c>
      <c r="AN402" s="36"/>
      <c r="AO402" s="36"/>
      <c r="AP402" s="37"/>
    </row>
    <row r="403" spans="1:42" s="38" customFormat="1" ht="18.75" customHeight="1" x14ac:dyDescent="0.25">
      <c r="A403" s="44">
        <v>46199</v>
      </c>
      <c r="B403" s="40">
        <f t="shared" si="12"/>
        <v>46199</v>
      </c>
      <c r="C403" s="41" t="s">
        <v>85</v>
      </c>
      <c r="D403" s="45" t="s">
        <v>86</v>
      </c>
      <c r="E403" s="45">
        <v>31797</v>
      </c>
      <c r="F403" s="45">
        <v>1</v>
      </c>
      <c r="G403" s="191">
        <v>40631970</v>
      </c>
      <c r="H403" s="54" t="s">
        <v>414</v>
      </c>
      <c r="I403" s="42"/>
      <c r="J403" s="43"/>
      <c r="K403" s="43">
        <f t="shared" si="13"/>
        <v>40</v>
      </c>
      <c r="L403" s="43"/>
      <c r="M403" s="43"/>
      <c r="N403" s="43"/>
      <c r="O403" s="43"/>
      <c r="P403" s="46">
        <v>40</v>
      </c>
      <c r="Q403" s="47"/>
      <c r="R403" s="40"/>
      <c r="S403" s="42"/>
      <c r="T403" s="41"/>
      <c r="U403" s="41"/>
      <c r="V403" s="48" t="s">
        <v>453</v>
      </c>
      <c r="W403" s="43"/>
      <c r="X403" s="44">
        <v>46199</v>
      </c>
      <c r="Y403" s="41" t="s">
        <v>454</v>
      </c>
      <c r="Z403" s="41"/>
      <c r="AA403" s="41"/>
      <c r="AB403" s="41" t="s">
        <v>937</v>
      </c>
      <c r="AC403" s="49"/>
      <c r="AD403" s="49">
        <v>1212</v>
      </c>
      <c r="AE403" s="50"/>
      <c r="AF403" s="51"/>
      <c r="AG403" s="51"/>
      <c r="AH403" s="52"/>
      <c r="AI403" s="52"/>
      <c r="AJ403" s="53"/>
      <c r="AK403" s="52"/>
      <c r="AL403" s="43">
        <v>18</v>
      </c>
      <c r="AM403" s="168" t="s">
        <v>938</v>
      </c>
      <c r="AN403" s="36"/>
      <c r="AO403" s="36"/>
      <c r="AP403" s="37"/>
    </row>
    <row r="404" spans="1:42" s="38" customFormat="1" ht="18.75" customHeight="1" x14ac:dyDescent="0.25">
      <c r="A404" s="44">
        <v>46199</v>
      </c>
      <c r="B404" s="40">
        <f t="shared" si="12"/>
        <v>46199</v>
      </c>
      <c r="C404" s="41" t="s">
        <v>85</v>
      </c>
      <c r="D404" s="45" t="s">
        <v>86</v>
      </c>
      <c r="E404" s="45">
        <v>31798</v>
      </c>
      <c r="F404" s="45">
        <v>1</v>
      </c>
      <c r="G404" s="191">
        <v>45998102</v>
      </c>
      <c r="H404" s="54" t="s">
        <v>415</v>
      </c>
      <c r="I404" s="42"/>
      <c r="J404" s="43"/>
      <c r="K404" s="43">
        <f t="shared" si="13"/>
        <v>59</v>
      </c>
      <c r="L404" s="43"/>
      <c r="M404" s="43"/>
      <c r="N404" s="43"/>
      <c r="O404" s="43"/>
      <c r="P404" s="46">
        <v>59</v>
      </c>
      <c r="Q404" s="47"/>
      <c r="R404" s="40"/>
      <c r="S404" s="42"/>
      <c r="T404" s="41"/>
      <c r="U404" s="41"/>
      <c r="V404" s="48" t="s">
        <v>453</v>
      </c>
      <c r="W404" s="43"/>
      <c r="X404" s="44">
        <v>46199</v>
      </c>
      <c r="Y404" s="41" t="s">
        <v>454</v>
      </c>
      <c r="Z404" s="41"/>
      <c r="AA404" s="41"/>
      <c r="AB404" s="41" t="s">
        <v>937</v>
      </c>
      <c r="AC404" s="49"/>
      <c r="AD404" s="49">
        <v>1212</v>
      </c>
      <c r="AE404" s="50"/>
      <c r="AF404" s="51"/>
      <c r="AG404" s="51"/>
      <c r="AH404" s="52"/>
      <c r="AI404" s="52"/>
      <c r="AJ404" s="53"/>
      <c r="AK404" s="52"/>
      <c r="AL404" s="43">
        <v>18</v>
      </c>
      <c r="AM404" s="168" t="s">
        <v>938</v>
      </c>
      <c r="AN404" s="36"/>
      <c r="AO404" s="36"/>
      <c r="AP404" s="37"/>
    </row>
    <row r="405" spans="1:42" s="190" customFormat="1" ht="18.75" customHeight="1" x14ac:dyDescent="0.25">
      <c r="A405" s="172">
        <v>46199</v>
      </c>
      <c r="B405" s="173">
        <f t="shared" si="12"/>
        <v>46199</v>
      </c>
      <c r="C405" s="174" t="s">
        <v>85</v>
      </c>
      <c r="D405" s="175" t="s">
        <v>86</v>
      </c>
      <c r="E405" s="175">
        <v>31799</v>
      </c>
      <c r="F405" s="175">
        <v>1</v>
      </c>
      <c r="G405" s="192" t="s">
        <v>936</v>
      </c>
      <c r="H405" s="176" t="s">
        <v>416</v>
      </c>
      <c r="I405" s="177"/>
      <c r="J405" s="178"/>
      <c r="K405" s="178">
        <f t="shared" si="13"/>
        <v>61.2</v>
      </c>
      <c r="L405" s="178"/>
      <c r="M405" s="178"/>
      <c r="N405" s="178"/>
      <c r="O405" s="178"/>
      <c r="P405" s="179">
        <v>61.2</v>
      </c>
      <c r="Q405" s="180"/>
      <c r="R405" s="173"/>
      <c r="S405" s="177"/>
      <c r="T405" s="174"/>
      <c r="U405" s="174"/>
      <c r="V405" s="181" t="s">
        <v>453</v>
      </c>
      <c r="W405" s="178"/>
      <c r="X405" s="172">
        <v>46199</v>
      </c>
      <c r="Y405" s="174" t="s">
        <v>454</v>
      </c>
      <c r="Z405" s="174"/>
      <c r="AA405" s="174"/>
      <c r="AB405" s="174" t="s">
        <v>937</v>
      </c>
      <c r="AC405" s="182"/>
      <c r="AD405" s="182">
        <v>1212</v>
      </c>
      <c r="AE405" s="183"/>
      <c r="AF405" s="184"/>
      <c r="AG405" s="184"/>
      <c r="AH405" s="185"/>
      <c r="AI405" s="185"/>
      <c r="AJ405" s="186"/>
      <c r="AK405" s="185"/>
      <c r="AL405" s="178">
        <v>18</v>
      </c>
      <c r="AM405" s="187" t="s">
        <v>938</v>
      </c>
      <c r="AN405" s="188"/>
      <c r="AO405" s="188"/>
      <c r="AP405" s="189"/>
    </row>
    <row r="406" spans="1:42" s="38" customFormat="1" ht="18.75" customHeight="1" x14ac:dyDescent="0.25">
      <c r="A406" s="44">
        <v>46199</v>
      </c>
      <c r="B406" s="40">
        <f t="shared" si="12"/>
        <v>46199</v>
      </c>
      <c r="C406" s="41" t="s">
        <v>85</v>
      </c>
      <c r="D406" s="45" t="s">
        <v>86</v>
      </c>
      <c r="E406" s="45">
        <v>31800</v>
      </c>
      <c r="F406" s="45">
        <v>1</v>
      </c>
      <c r="G406" s="191">
        <v>72514468</v>
      </c>
      <c r="H406" s="54" t="s">
        <v>417</v>
      </c>
      <c r="I406" s="42"/>
      <c r="J406" s="43"/>
      <c r="K406" s="43">
        <f t="shared" si="13"/>
        <v>50</v>
      </c>
      <c r="L406" s="43"/>
      <c r="M406" s="43"/>
      <c r="N406" s="43"/>
      <c r="O406" s="43"/>
      <c r="P406" s="46">
        <v>50</v>
      </c>
      <c r="Q406" s="47"/>
      <c r="R406" s="40"/>
      <c r="S406" s="42"/>
      <c r="T406" s="41"/>
      <c r="U406" s="41"/>
      <c r="V406" s="48" t="s">
        <v>453</v>
      </c>
      <c r="W406" s="43"/>
      <c r="X406" s="44">
        <v>46199</v>
      </c>
      <c r="Y406" s="41" t="s">
        <v>454</v>
      </c>
      <c r="Z406" s="41"/>
      <c r="AA406" s="41"/>
      <c r="AB406" s="41" t="s">
        <v>937</v>
      </c>
      <c r="AC406" s="49"/>
      <c r="AD406" s="49">
        <v>1212</v>
      </c>
      <c r="AE406" s="50"/>
      <c r="AF406" s="51"/>
      <c r="AG406" s="51"/>
      <c r="AH406" s="52"/>
      <c r="AI406" s="52"/>
      <c r="AJ406" s="53"/>
      <c r="AK406" s="52"/>
      <c r="AL406" s="43">
        <v>18</v>
      </c>
      <c r="AM406" s="168" t="s">
        <v>938</v>
      </c>
      <c r="AN406" s="36"/>
      <c r="AO406" s="36"/>
      <c r="AP406" s="37"/>
    </row>
    <row r="407" spans="1:42" s="38" customFormat="1" ht="18.75" customHeight="1" x14ac:dyDescent="0.25">
      <c r="A407" s="44">
        <v>46199</v>
      </c>
      <c r="B407" s="40">
        <f t="shared" si="12"/>
        <v>46199</v>
      </c>
      <c r="C407" s="41" t="s">
        <v>85</v>
      </c>
      <c r="D407" s="45" t="s">
        <v>86</v>
      </c>
      <c r="E407" s="45">
        <v>31801</v>
      </c>
      <c r="F407" s="45">
        <v>1</v>
      </c>
      <c r="G407" s="191">
        <v>48226893</v>
      </c>
      <c r="H407" s="54" t="s">
        <v>418</v>
      </c>
      <c r="I407" s="42"/>
      <c r="J407" s="43"/>
      <c r="K407" s="43">
        <f t="shared" si="13"/>
        <v>73.2</v>
      </c>
      <c r="L407" s="43"/>
      <c r="M407" s="43"/>
      <c r="N407" s="43"/>
      <c r="O407" s="43"/>
      <c r="P407" s="46">
        <v>73.2</v>
      </c>
      <c r="Q407" s="47"/>
      <c r="R407" s="40"/>
      <c r="S407" s="42"/>
      <c r="T407" s="41"/>
      <c r="U407" s="41"/>
      <c r="V407" s="48" t="s">
        <v>453</v>
      </c>
      <c r="W407" s="43"/>
      <c r="X407" s="44">
        <v>46199</v>
      </c>
      <c r="Y407" s="41" t="s">
        <v>454</v>
      </c>
      <c r="Z407" s="41"/>
      <c r="AA407" s="41"/>
      <c r="AB407" s="41" t="s">
        <v>937</v>
      </c>
      <c r="AC407" s="49"/>
      <c r="AD407" s="49">
        <v>1212</v>
      </c>
      <c r="AE407" s="50"/>
      <c r="AF407" s="51"/>
      <c r="AG407" s="51"/>
      <c r="AH407" s="52"/>
      <c r="AI407" s="52"/>
      <c r="AJ407" s="53"/>
      <c r="AK407" s="52"/>
      <c r="AL407" s="43">
        <v>18</v>
      </c>
      <c r="AM407" s="168" t="s">
        <v>938</v>
      </c>
      <c r="AN407" s="36"/>
      <c r="AO407" s="36"/>
      <c r="AP407" s="37"/>
    </row>
    <row r="408" spans="1:42" s="38" customFormat="1" ht="18.75" customHeight="1" x14ac:dyDescent="0.25">
      <c r="A408" s="44">
        <v>46199</v>
      </c>
      <c r="B408" s="40">
        <f t="shared" si="12"/>
        <v>46199</v>
      </c>
      <c r="C408" s="41" t="s">
        <v>85</v>
      </c>
      <c r="D408" s="45" t="s">
        <v>86</v>
      </c>
      <c r="E408" s="45">
        <v>31802</v>
      </c>
      <c r="F408" s="45">
        <v>1</v>
      </c>
      <c r="G408" s="191">
        <v>18140799</v>
      </c>
      <c r="H408" s="54" t="s">
        <v>257</v>
      </c>
      <c r="I408" s="42"/>
      <c r="J408" s="43"/>
      <c r="K408" s="43">
        <f t="shared" si="13"/>
        <v>40</v>
      </c>
      <c r="L408" s="43"/>
      <c r="M408" s="43"/>
      <c r="N408" s="43"/>
      <c r="O408" s="43"/>
      <c r="P408" s="46">
        <v>40</v>
      </c>
      <c r="Q408" s="47"/>
      <c r="R408" s="40"/>
      <c r="S408" s="42"/>
      <c r="T408" s="41"/>
      <c r="U408" s="41"/>
      <c r="V408" s="48" t="s">
        <v>453</v>
      </c>
      <c r="W408" s="43"/>
      <c r="X408" s="44">
        <v>46199</v>
      </c>
      <c r="Y408" s="41" t="s">
        <v>454</v>
      </c>
      <c r="Z408" s="41"/>
      <c r="AA408" s="41"/>
      <c r="AB408" s="41" t="s">
        <v>937</v>
      </c>
      <c r="AC408" s="49"/>
      <c r="AD408" s="49">
        <v>1212</v>
      </c>
      <c r="AE408" s="50"/>
      <c r="AF408" s="51"/>
      <c r="AG408" s="51"/>
      <c r="AH408" s="52"/>
      <c r="AI408" s="52"/>
      <c r="AJ408" s="53"/>
      <c r="AK408" s="52"/>
      <c r="AL408" s="43">
        <v>18</v>
      </c>
      <c r="AM408" s="168" t="s">
        <v>938</v>
      </c>
      <c r="AN408" s="36"/>
      <c r="AO408" s="36"/>
      <c r="AP408" s="37"/>
    </row>
    <row r="409" spans="1:42" s="38" customFormat="1" ht="18.75" customHeight="1" x14ac:dyDescent="0.25">
      <c r="A409" s="44">
        <v>46199</v>
      </c>
      <c r="B409" s="40">
        <f t="shared" si="12"/>
        <v>46199</v>
      </c>
      <c r="C409" s="41" t="s">
        <v>85</v>
      </c>
      <c r="D409" s="45" t="s">
        <v>86</v>
      </c>
      <c r="E409" s="45">
        <v>31803</v>
      </c>
      <c r="F409" s="45">
        <v>1</v>
      </c>
      <c r="G409" s="191">
        <v>60905961</v>
      </c>
      <c r="H409" s="54" t="s">
        <v>419</v>
      </c>
      <c r="I409" s="42"/>
      <c r="J409" s="43"/>
      <c r="K409" s="43">
        <f t="shared" si="13"/>
        <v>33.700000000000003</v>
      </c>
      <c r="L409" s="43"/>
      <c r="M409" s="43"/>
      <c r="N409" s="43"/>
      <c r="O409" s="43"/>
      <c r="P409" s="46">
        <v>33.700000000000003</v>
      </c>
      <c r="Q409" s="47"/>
      <c r="R409" s="40"/>
      <c r="S409" s="42"/>
      <c r="T409" s="41"/>
      <c r="U409" s="41"/>
      <c r="V409" s="48" t="s">
        <v>453</v>
      </c>
      <c r="W409" s="43"/>
      <c r="X409" s="44">
        <v>46199</v>
      </c>
      <c r="Y409" s="41" t="s">
        <v>454</v>
      </c>
      <c r="Z409" s="41"/>
      <c r="AA409" s="41"/>
      <c r="AB409" s="41" t="s">
        <v>937</v>
      </c>
      <c r="AC409" s="49"/>
      <c r="AD409" s="49">
        <v>1212</v>
      </c>
      <c r="AE409" s="50"/>
      <c r="AF409" s="51"/>
      <c r="AG409" s="51"/>
      <c r="AH409" s="52"/>
      <c r="AI409" s="52"/>
      <c r="AJ409" s="53"/>
      <c r="AK409" s="52"/>
      <c r="AL409" s="43">
        <v>18</v>
      </c>
      <c r="AM409" s="168" t="s">
        <v>938</v>
      </c>
      <c r="AN409" s="36"/>
      <c r="AO409" s="36"/>
      <c r="AP409" s="37"/>
    </row>
    <row r="410" spans="1:42" s="38" customFormat="1" ht="18.75" customHeight="1" x14ac:dyDescent="0.25">
      <c r="A410" s="44">
        <v>46199</v>
      </c>
      <c r="B410" s="40">
        <f t="shared" si="12"/>
        <v>46199</v>
      </c>
      <c r="C410" s="41" t="s">
        <v>85</v>
      </c>
      <c r="D410" s="45" t="s">
        <v>86</v>
      </c>
      <c r="E410" s="45">
        <v>31804</v>
      </c>
      <c r="F410" s="45">
        <v>1</v>
      </c>
      <c r="G410" s="191">
        <v>73518584</v>
      </c>
      <c r="H410" s="54" t="s">
        <v>420</v>
      </c>
      <c r="I410" s="42"/>
      <c r="J410" s="43"/>
      <c r="K410" s="43">
        <f t="shared" si="13"/>
        <v>44.9</v>
      </c>
      <c r="L410" s="43"/>
      <c r="M410" s="43"/>
      <c r="N410" s="43"/>
      <c r="O410" s="43"/>
      <c r="P410" s="46">
        <v>44.9</v>
      </c>
      <c r="Q410" s="47"/>
      <c r="R410" s="40"/>
      <c r="S410" s="42"/>
      <c r="T410" s="41"/>
      <c r="U410" s="41"/>
      <c r="V410" s="48" t="s">
        <v>453</v>
      </c>
      <c r="W410" s="43"/>
      <c r="X410" s="44">
        <v>46199</v>
      </c>
      <c r="Y410" s="41" t="s">
        <v>454</v>
      </c>
      <c r="Z410" s="41"/>
      <c r="AA410" s="41"/>
      <c r="AB410" s="41" t="s">
        <v>937</v>
      </c>
      <c r="AC410" s="49"/>
      <c r="AD410" s="49">
        <v>1212</v>
      </c>
      <c r="AE410" s="50"/>
      <c r="AF410" s="51"/>
      <c r="AG410" s="51"/>
      <c r="AH410" s="52"/>
      <c r="AI410" s="52"/>
      <c r="AJ410" s="53"/>
      <c r="AK410" s="52"/>
      <c r="AL410" s="43">
        <v>18</v>
      </c>
      <c r="AM410" s="168" t="s">
        <v>938</v>
      </c>
      <c r="AN410" s="36"/>
      <c r="AO410" s="36"/>
      <c r="AP410" s="37"/>
    </row>
    <row r="411" spans="1:42" s="38" customFormat="1" ht="18.75" customHeight="1" x14ac:dyDescent="0.25">
      <c r="A411" s="44">
        <v>46200</v>
      </c>
      <c r="B411" s="40">
        <f t="shared" si="12"/>
        <v>46200</v>
      </c>
      <c r="C411" s="41" t="s">
        <v>85</v>
      </c>
      <c r="D411" s="45" t="s">
        <v>86</v>
      </c>
      <c r="E411" s="45">
        <v>31805</v>
      </c>
      <c r="F411" s="45">
        <v>1</v>
      </c>
      <c r="G411" s="191">
        <v>20905043</v>
      </c>
      <c r="H411" s="54" t="s">
        <v>421</v>
      </c>
      <c r="I411" s="42"/>
      <c r="J411" s="43"/>
      <c r="K411" s="43">
        <f t="shared" si="13"/>
        <v>7.5</v>
      </c>
      <c r="L411" s="43"/>
      <c r="M411" s="43"/>
      <c r="N411" s="43"/>
      <c r="O411" s="43"/>
      <c r="P411" s="46">
        <v>7.5</v>
      </c>
      <c r="Q411" s="47"/>
      <c r="R411" s="40"/>
      <c r="S411" s="42"/>
      <c r="T411" s="41"/>
      <c r="U411" s="41"/>
      <c r="V411" s="48" t="s">
        <v>453</v>
      </c>
      <c r="W411" s="43"/>
      <c r="X411" s="44">
        <v>46200</v>
      </c>
      <c r="Y411" s="41" t="s">
        <v>454</v>
      </c>
      <c r="Z411" s="41"/>
      <c r="AA411" s="41"/>
      <c r="AB411" s="41" t="s">
        <v>937</v>
      </c>
      <c r="AC411" s="49"/>
      <c r="AD411" s="49">
        <v>1212</v>
      </c>
      <c r="AE411" s="50"/>
      <c r="AF411" s="51"/>
      <c r="AG411" s="51"/>
      <c r="AH411" s="52"/>
      <c r="AI411" s="52"/>
      <c r="AJ411" s="53"/>
      <c r="AK411" s="52"/>
      <c r="AL411" s="43">
        <v>18</v>
      </c>
      <c r="AM411" s="168" t="s">
        <v>938</v>
      </c>
      <c r="AN411" s="36"/>
      <c r="AO411" s="36"/>
      <c r="AP411" s="37"/>
    </row>
    <row r="412" spans="1:42" s="38" customFormat="1" ht="18.75" customHeight="1" x14ac:dyDescent="0.25">
      <c r="A412" s="44">
        <v>46200</v>
      </c>
      <c r="B412" s="40">
        <f t="shared" si="12"/>
        <v>46200</v>
      </c>
      <c r="C412" s="41" t="s">
        <v>85</v>
      </c>
      <c r="D412" s="45" t="s">
        <v>86</v>
      </c>
      <c r="E412" s="45">
        <v>31806</v>
      </c>
      <c r="F412" s="45">
        <v>6</v>
      </c>
      <c r="G412" s="191">
        <v>20612437298</v>
      </c>
      <c r="H412" s="54" t="s">
        <v>179</v>
      </c>
      <c r="I412" s="42"/>
      <c r="J412" s="43"/>
      <c r="K412" s="43">
        <f t="shared" si="13"/>
        <v>1.4</v>
      </c>
      <c r="L412" s="43"/>
      <c r="M412" s="43"/>
      <c r="N412" s="43"/>
      <c r="O412" s="43"/>
      <c r="P412" s="46">
        <v>1.4</v>
      </c>
      <c r="Q412" s="47"/>
      <c r="R412" s="40"/>
      <c r="S412" s="42"/>
      <c r="T412" s="41"/>
      <c r="U412" s="41"/>
      <c r="V412" s="48" t="s">
        <v>453</v>
      </c>
      <c r="W412" s="43"/>
      <c r="X412" s="44">
        <v>46200</v>
      </c>
      <c r="Y412" s="41" t="s">
        <v>454</v>
      </c>
      <c r="Z412" s="41"/>
      <c r="AA412" s="41"/>
      <c r="AB412" s="41" t="s">
        <v>937</v>
      </c>
      <c r="AC412" s="49"/>
      <c r="AD412" s="49">
        <v>1212</v>
      </c>
      <c r="AE412" s="50"/>
      <c r="AF412" s="51"/>
      <c r="AG412" s="51"/>
      <c r="AH412" s="52"/>
      <c r="AI412" s="52"/>
      <c r="AJ412" s="53"/>
      <c r="AK412" s="52"/>
      <c r="AL412" s="43">
        <v>18</v>
      </c>
      <c r="AM412" s="168" t="s">
        <v>938</v>
      </c>
      <c r="AN412" s="36"/>
      <c r="AO412" s="36"/>
      <c r="AP412" s="37"/>
    </row>
    <row r="413" spans="1:42" s="38" customFormat="1" ht="18.75" customHeight="1" x14ac:dyDescent="0.25">
      <c r="A413" s="44">
        <v>46200</v>
      </c>
      <c r="B413" s="40">
        <f t="shared" si="12"/>
        <v>46200</v>
      </c>
      <c r="C413" s="41" t="s">
        <v>85</v>
      </c>
      <c r="D413" s="45" t="s">
        <v>86</v>
      </c>
      <c r="E413" s="45">
        <v>31807</v>
      </c>
      <c r="F413" s="45">
        <v>6</v>
      </c>
      <c r="G413" s="191">
        <v>20600723317</v>
      </c>
      <c r="H413" s="54" t="s">
        <v>422</v>
      </c>
      <c r="I413" s="42"/>
      <c r="J413" s="43"/>
      <c r="K413" s="43">
        <f t="shared" si="13"/>
        <v>217.5</v>
      </c>
      <c r="L413" s="43"/>
      <c r="M413" s="43"/>
      <c r="N413" s="43"/>
      <c r="O413" s="43"/>
      <c r="P413" s="46">
        <v>217.5</v>
      </c>
      <c r="Q413" s="47"/>
      <c r="R413" s="40"/>
      <c r="S413" s="42"/>
      <c r="T413" s="41"/>
      <c r="U413" s="41"/>
      <c r="V413" s="48" t="s">
        <v>453</v>
      </c>
      <c r="W413" s="43"/>
      <c r="X413" s="44">
        <v>46200</v>
      </c>
      <c r="Y413" s="41" t="s">
        <v>454</v>
      </c>
      <c r="Z413" s="41"/>
      <c r="AA413" s="41"/>
      <c r="AB413" s="41" t="s">
        <v>937</v>
      </c>
      <c r="AC413" s="49"/>
      <c r="AD413" s="49">
        <v>1212</v>
      </c>
      <c r="AE413" s="50"/>
      <c r="AF413" s="51"/>
      <c r="AG413" s="51"/>
      <c r="AH413" s="52"/>
      <c r="AI413" s="52"/>
      <c r="AJ413" s="53"/>
      <c r="AK413" s="52"/>
      <c r="AL413" s="43">
        <v>18</v>
      </c>
      <c r="AM413" s="168" t="s">
        <v>938</v>
      </c>
      <c r="AN413" s="36"/>
      <c r="AO413" s="36"/>
      <c r="AP413" s="37"/>
    </row>
    <row r="414" spans="1:42" s="38" customFormat="1" ht="18.75" customHeight="1" x14ac:dyDescent="0.25">
      <c r="A414" s="44">
        <v>46200</v>
      </c>
      <c r="B414" s="40">
        <f t="shared" si="12"/>
        <v>46200</v>
      </c>
      <c r="C414" s="41" t="s">
        <v>85</v>
      </c>
      <c r="D414" s="45" t="s">
        <v>86</v>
      </c>
      <c r="E414" s="45">
        <v>31808</v>
      </c>
      <c r="F414" s="45">
        <v>6</v>
      </c>
      <c r="G414" s="191">
        <v>20600215079</v>
      </c>
      <c r="H414" s="54" t="s">
        <v>104</v>
      </c>
      <c r="I414" s="42"/>
      <c r="J414" s="43"/>
      <c r="K414" s="43">
        <f t="shared" si="13"/>
        <v>100</v>
      </c>
      <c r="L414" s="43"/>
      <c r="M414" s="43"/>
      <c r="N414" s="43"/>
      <c r="O414" s="43"/>
      <c r="P414" s="46">
        <v>100</v>
      </c>
      <c r="Q414" s="47"/>
      <c r="R414" s="40"/>
      <c r="S414" s="42"/>
      <c r="T414" s="41"/>
      <c r="U414" s="41"/>
      <c r="V414" s="48" t="s">
        <v>453</v>
      </c>
      <c r="W414" s="43"/>
      <c r="X414" s="44">
        <v>46200</v>
      </c>
      <c r="Y414" s="41" t="s">
        <v>454</v>
      </c>
      <c r="Z414" s="41"/>
      <c r="AA414" s="41"/>
      <c r="AB414" s="41" t="s">
        <v>937</v>
      </c>
      <c r="AC414" s="49"/>
      <c r="AD414" s="49">
        <v>1212</v>
      </c>
      <c r="AE414" s="50"/>
      <c r="AF414" s="51"/>
      <c r="AG414" s="51"/>
      <c r="AH414" s="52"/>
      <c r="AI414" s="52"/>
      <c r="AJ414" s="53"/>
      <c r="AK414" s="52"/>
      <c r="AL414" s="43">
        <v>18</v>
      </c>
      <c r="AM414" s="168" t="s">
        <v>938</v>
      </c>
      <c r="AN414" s="36"/>
      <c r="AO414" s="36"/>
      <c r="AP414" s="37"/>
    </row>
    <row r="415" spans="1:42" s="38" customFormat="1" ht="18.75" customHeight="1" x14ac:dyDescent="0.25">
      <c r="A415" s="44">
        <v>46200</v>
      </c>
      <c r="B415" s="40">
        <f t="shared" si="12"/>
        <v>46200</v>
      </c>
      <c r="C415" s="41" t="s">
        <v>85</v>
      </c>
      <c r="D415" s="45" t="s">
        <v>86</v>
      </c>
      <c r="E415" s="45">
        <v>31809</v>
      </c>
      <c r="F415" s="45">
        <v>1</v>
      </c>
      <c r="G415" s="191">
        <v>47447219</v>
      </c>
      <c r="H415" s="54" t="s">
        <v>127</v>
      </c>
      <c r="I415" s="42"/>
      <c r="J415" s="43"/>
      <c r="K415" s="43">
        <f t="shared" si="13"/>
        <v>20</v>
      </c>
      <c r="L415" s="43"/>
      <c r="M415" s="43"/>
      <c r="N415" s="43"/>
      <c r="O415" s="43"/>
      <c r="P415" s="46">
        <v>20</v>
      </c>
      <c r="Q415" s="47"/>
      <c r="R415" s="40"/>
      <c r="S415" s="42"/>
      <c r="T415" s="41"/>
      <c r="U415" s="41"/>
      <c r="V415" s="48" t="s">
        <v>453</v>
      </c>
      <c r="W415" s="43"/>
      <c r="X415" s="44">
        <v>46200</v>
      </c>
      <c r="Y415" s="41" t="s">
        <v>454</v>
      </c>
      <c r="Z415" s="41"/>
      <c r="AA415" s="41"/>
      <c r="AB415" s="41" t="s">
        <v>937</v>
      </c>
      <c r="AC415" s="49"/>
      <c r="AD415" s="49">
        <v>1212</v>
      </c>
      <c r="AE415" s="50"/>
      <c r="AF415" s="51"/>
      <c r="AG415" s="51"/>
      <c r="AH415" s="52"/>
      <c r="AI415" s="52"/>
      <c r="AJ415" s="53"/>
      <c r="AK415" s="52"/>
      <c r="AL415" s="43">
        <v>18</v>
      </c>
      <c r="AM415" s="168" t="s">
        <v>938</v>
      </c>
      <c r="AN415" s="36"/>
      <c r="AO415" s="36"/>
      <c r="AP415" s="37"/>
    </row>
    <row r="416" spans="1:42" s="38" customFormat="1" ht="18.75" customHeight="1" x14ac:dyDescent="0.25">
      <c r="A416" s="44">
        <v>46200</v>
      </c>
      <c r="B416" s="40">
        <f t="shared" si="12"/>
        <v>46200</v>
      </c>
      <c r="C416" s="41" t="s">
        <v>85</v>
      </c>
      <c r="D416" s="45" t="s">
        <v>86</v>
      </c>
      <c r="E416" s="45">
        <v>31810</v>
      </c>
      <c r="F416" s="45">
        <v>1</v>
      </c>
      <c r="G416" s="191">
        <v>20005542</v>
      </c>
      <c r="H416" s="54" t="s">
        <v>423</v>
      </c>
      <c r="I416" s="42"/>
      <c r="J416" s="43"/>
      <c r="K416" s="43">
        <f t="shared" si="13"/>
        <v>21.8</v>
      </c>
      <c r="L416" s="43"/>
      <c r="M416" s="43"/>
      <c r="N416" s="43"/>
      <c r="O416" s="43"/>
      <c r="P416" s="46">
        <v>21.8</v>
      </c>
      <c r="Q416" s="47"/>
      <c r="R416" s="40"/>
      <c r="S416" s="42"/>
      <c r="T416" s="41"/>
      <c r="U416" s="41"/>
      <c r="V416" s="48" t="s">
        <v>453</v>
      </c>
      <c r="W416" s="43"/>
      <c r="X416" s="44">
        <v>46200</v>
      </c>
      <c r="Y416" s="41" t="s">
        <v>454</v>
      </c>
      <c r="Z416" s="41"/>
      <c r="AA416" s="41"/>
      <c r="AB416" s="41" t="s">
        <v>937</v>
      </c>
      <c r="AC416" s="49"/>
      <c r="AD416" s="49">
        <v>1212</v>
      </c>
      <c r="AE416" s="50"/>
      <c r="AF416" s="51"/>
      <c r="AG416" s="51"/>
      <c r="AH416" s="52"/>
      <c r="AI416" s="52"/>
      <c r="AJ416" s="53"/>
      <c r="AK416" s="52"/>
      <c r="AL416" s="43">
        <v>18</v>
      </c>
      <c r="AM416" s="168" t="s">
        <v>938</v>
      </c>
      <c r="AN416" s="36"/>
      <c r="AO416" s="36"/>
      <c r="AP416" s="37"/>
    </row>
    <row r="417" spans="1:42" s="38" customFormat="1" ht="18.75" customHeight="1" x14ac:dyDescent="0.25">
      <c r="A417" s="44">
        <v>46200</v>
      </c>
      <c r="B417" s="40">
        <f t="shared" si="12"/>
        <v>46200</v>
      </c>
      <c r="C417" s="41" t="s">
        <v>85</v>
      </c>
      <c r="D417" s="45" t="s">
        <v>86</v>
      </c>
      <c r="E417" s="45">
        <v>31811</v>
      </c>
      <c r="F417" s="45">
        <v>1</v>
      </c>
      <c r="G417" s="191">
        <v>47877521</v>
      </c>
      <c r="H417" s="54" t="s">
        <v>424</v>
      </c>
      <c r="I417" s="42"/>
      <c r="J417" s="43"/>
      <c r="K417" s="43">
        <f t="shared" si="13"/>
        <v>95.5</v>
      </c>
      <c r="L417" s="43"/>
      <c r="M417" s="43"/>
      <c r="N417" s="43"/>
      <c r="O417" s="43"/>
      <c r="P417" s="46">
        <v>95.5</v>
      </c>
      <c r="Q417" s="47"/>
      <c r="R417" s="40"/>
      <c r="S417" s="42"/>
      <c r="T417" s="41"/>
      <c r="U417" s="41"/>
      <c r="V417" s="48" t="s">
        <v>453</v>
      </c>
      <c r="W417" s="43"/>
      <c r="X417" s="44">
        <v>46200</v>
      </c>
      <c r="Y417" s="41" t="s">
        <v>454</v>
      </c>
      <c r="Z417" s="41"/>
      <c r="AA417" s="41"/>
      <c r="AB417" s="41" t="s">
        <v>937</v>
      </c>
      <c r="AC417" s="49"/>
      <c r="AD417" s="49">
        <v>1212</v>
      </c>
      <c r="AE417" s="50"/>
      <c r="AF417" s="51"/>
      <c r="AG417" s="51"/>
      <c r="AH417" s="52"/>
      <c r="AI417" s="52"/>
      <c r="AJ417" s="53"/>
      <c r="AK417" s="52"/>
      <c r="AL417" s="43">
        <v>18</v>
      </c>
      <c r="AM417" s="168" t="s">
        <v>938</v>
      </c>
      <c r="AN417" s="36"/>
      <c r="AO417" s="36"/>
      <c r="AP417" s="37"/>
    </row>
    <row r="418" spans="1:42" s="38" customFormat="1" ht="18.75" customHeight="1" x14ac:dyDescent="0.25">
      <c r="A418" s="44">
        <v>46200</v>
      </c>
      <c r="B418" s="40">
        <f t="shared" si="12"/>
        <v>46200</v>
      </c>
      <c r="C418" s="41" t="s">
        <v>85</v>
      </c>
      <c r="D418" s="45" t="s">
        <v>86</v>
      </c>
      <c r="E418" s="45">
        <v>31812</v>
      </c>
      <c r="F418" s="45">
        <v>1</v>
      </c>
      <c r="G418" s="191">
        <v>71557553</v>
      </c>
      <c r="H418" s="54" t="s">
        <v>425</v>
      </c>
      <c r="I418" s="42"/>
      <c r="J418" s="43"/>
      <c r="K418" s="43">
        <f t="shared" si="13"/>
        <v>38.200000000000003</v>
      </c>
      <c r="L418" s="43"/>
      <c r="M418" s="43"/>
      <c r="N418" s="43"/>
      <c r="O418" s="43"/>
      <c r="P418" s="46">
        <v>38.200000000000003</v>
      </c>
      <c r="Q418" s="47"/>
      <c r="R418" s="40"/>
      <c r="S418" s="42"/>
      <c r="T418" s="41"/>
      <c r="U418" s="41"/>
      <c r="V418" s="48" t="s">
        <v>453</v>
      </c>
      <c r="W418" s="43"/>
      <c r="X418" s="44">
        <v>46200</v>
      </c>
      <c r="Y418" s="41" t="s">
        <v>454</v>
      </c>
      <c r="Z418" s="41"/>
      <c r="AA418" s="41"/>
      <c r="AB418" s="41" t="s">
        <v>937</v>
      </c>
      <c r="AC418" s="49"/>
      <c r="AD418" s="49">
        <v>1212</v>
      </c>
      <c r="AE418" s="50"/>
      <c r="AF418" s="51"/>
      <c r="AG418" s="51"/>
      <c r="AH418" s="52"/>
      <c r="AI418" s="52"/>
      <c r="AJ418" s="53"/>
      <c r="AK418" s="52"/>
      <c r="AL418" s="43">
        <v>18</v>
      </c>
      <c r="AM418" s="168" t="s">
        <v>938</v>
      </c>
      <c r="AN418" s="36"/>
      <c r="AO418" s="36"/>
      <c r="AP418" s="37"/>
    </row>
    <row r="419" spans="1:42" s="38" customFormat="1" ht="18.75" customHeight="1" x14ac:dyDescent="0.25">
      <c r="A419" s="44">
        <v>46200</v>
      </c>
      <c r="B419" s="40">
        <f t="shared" si="12"/>
        <v>46200</v>
      </c>
      <c r="C419" s="41" t="s">
        <v>85</v>
      </c>
      <c r="D419" s="45" t="s">
        <v>86</v>
      </c>
      <c r="E419" s="45">
        <v>31813</v>
      </c>
      <c r="F419" s="45">
        <v>1</v>
      </c>
      <c r="G419" s="191">
        <v>20714356</v>
      </c>
      <c r="H419" s="54" t="s">
        <v>426</v>
      </c>
      <c r="I419" s="42"/>
      <c r="J419" s="43"/>
      <c r="K419" s="43">
        <f t="shared" si="13"/>
        <v>24.5</v>
      </c>
      <c r="L419" s="43"/>
      <c r="M419" s="43"/>
      <c r="N419" s="43"/>
      <c r="O419" s="43"/>
      <c r="P419" s="46">
        <v>24.5</v>
      </c>
      <c r="Q419" s="47"/>
      <c r="R419" s="40"/>
      <c r="S419" s="42"/>
      <c r="T419" s="41"/>
      <c r="U419" s="41"/>
      <c r="V419" s="48" t="s">
        <v>453</v>
      </c>
      <c r="W419" s="43"/>
      <c r="X419" s="44">
        <v>46200</v>
      </c>
      <c r="Y419" s="41" t="s">
        <v>454</v>
      </c>
      <c r="Z419" s="41"/>
      <c r="AA419" s="41"/>
      <c r="AB419" s="41" t="s">
        <v>937</v>
      </c>
      <c r="AC419" s="49"/>
      <c r="AD419" s="49">
        <v>1212</v>
      </c>
      <c r="AE419" s="50"/>
      <c r="AF419" s="51"/>
      <c r="AG419" s="51"/>
      <c r="AH419" s="52"/>
      <c r="AI419" s="52"/>
      <c r="AJ419" s="53"/>
      <c r="AK419" s="52"/>
      <c r="AL419" s="43">
        <v>18</v>
      </c>
      <c r="AM419" s="168" t="s">
        <v>938</v>
      </c>
      <c r="AN419" s="36"/>
      <c r="AO419" s="36"/>
      <c r="AP419" s="37"/>
    </row>
    <row r="420" spans="1:42" s="38" customFormat="1" ht="18.75" customHeight="1" x14ac:dyDescent="0.25">
      <c r="A420" s="44">
        <v>46200</v>
      </c>
      <c r="B420" s="40">
        <f t="shared" si="12"/>
        <v>46200</v>
      </c>
      <c r="C420" s="41" t="s">
        <v>85</v>
      </c>
      <c r="D420" s="45" t="s">
        <v>86</v>
      </c>
      <c r="E420" s="45">
        <v>31814</v>
      </c>
      <c r="F420" s="45">
        <v>1</v>
      </c>
      <c r="G420" s="191">
        <v>20432651</v>
      </c>
      <c r="H420" s="54" t="s">
        <v>427</v>
      </c>
      <c r="I420" s="42"/>
      <c r="J420" s="43"/>
      <c r="K420" s="43">
        <f t="shared" si="13"/>
        <v>40</v>
      </c>
      <c r="L420" s="43"/>
      <c r="M420" s="43"/>
      <c r="N420" s="43"/>
      <c r="O420" s="43"/>
      <c r="P420" s="46">
        <v>40</v>
      </c>
      <c r="Q420" s="47"/>
      <c r="R420" s="40"/>
      <c r="S420" s="42"/>
      <c r="T420" s="41"/>
      <c r="U420" s="41"/>
      <c r="V420" s="48" t="s">
        <v>453</v>
      </c>
      <c r="W420" s="43"/>
      <c r="X420" s="44">
        <v>46200</v>
      </c>
      <c r="Y420" s="41" t="s">
        <v>454</v>
      </c>
      <c r="Z420" s="41"/>
      <c r="AA420" s="41"/>
      <c r="AB420" s="41" t="s">
        <v>937</v>
      </c>
      <c r="AC420" s="49"/>
      <c r="AD420" s="49">
        <v>1212</v>
      </c>
      <c r="AE420" s="50"/>
      <c r="AF420" s="51"/>
      <c r="AG420" s="51"/>
      <c r="AH420" s="52"/>
      <c r="AI420" s="52"/>
      <c r="AJ420" s="53"/>
      <c r="AK420" s="52"/>
      <c r="AL420" s="43">
        <v>18</v>
      </c>
      <c r="AM420" s="168" t="s">
        <v>938</v>
      </c>
      <c r="AN420" s="36"/>
      <c r="AO420" s="36"/>
      <c r="AP420" s="37"/>
    </row>
    <row r="421" spans="1:42" s="38" customFormat="1" ht="18.75" customHeight="1" x14ac:dyDescent="0.25">
      <c r="A421" s="44">
        <v>46200</v>
      </c>
      <c r="B421" s="40">
        <f t="shared" si="12"/>
        <v>46200</v>
      </c>
      <c r="C421" s="41" t="s">
        <v>85</v>
      </c>
      <c r="D421" s="45" t="s">
        <v>86</v>
      </c>
      <c r="E421" s="45">
        <v>31815</v>
      </c>
      <c r="F421" s="45">
        <v>1</v>
      </c>
      <c r="G421" s="191">
        <v>20417873</v>
      </c>
      <c r="H421" s="54" t="s">
        <v>428</v>
      </c>
      <c r="I421" s="42"/>
      <c r="J421" s="43"/>
      <c r="K421" s="43">
        <f t="shared" si="13"/>
        <v>41</v>
      </c>
      <c r="L421" s="43"/>
      <c r="M421" s="43"/>
      <c r="N421" s="43"/>
      <c r="O421" s="43"/>
      <c r="P421" s="46">
        <v>41</v>
      </c>
      <c r="Q421" s="47"/>
      <c r="R421" s="40"/>
      <c r="S421" s="42"/>
      <c r="T421" s="41"/>
      <c r="U421" s="41"/>
      <c r="V421" s="48" t="s">
        <v>453</v>
      </c>
      <c r="W421" s="43"/>
      <c r="X421" s="44">
        <v>46200</v>
      </c>
      <c r="Y421" s="41" t="s">
        <v>454</v>
      </c>
      <c r="Z421" s="41"/>
      <c r="AA421" s="41"/>
      <c r="AB421" s="41" t="s">
        <v>937</v>
      </c>
      <c r="AC421" s="49"/>
      <c r="AD421" s="49">
        <v>1212</v>
      </c>
      <c r="AE421" s="50"/>
      <c r="AF421" s="51"/>
      <c r="AG421" s="51"/>
      <c r="AH421" s="52"/>
      <c r="AI421" s="52"/>
      <c r="AJ421" s="53"/>
      <c r="AK421" s="52"/>
      <c r="AL421" s="43">
        <v>18</v>
      </c>
      <c r="AM421" s="168" t="s">
        <v>938</v>
      </c>
      <c r="AN421" s="36"/>
      <c r="AO421" s="36"/>
      <c r="AP421" s="37"/>
    </row>
    <row r="422" spans="1:42" s="38" customFormat="1" ht="18.75" customHeight="1" x14ac:dyDescent="0.25">
      <c r="A422" s="44">
        <v>46200</v>
      </c>
      <c r="B422" s="40">
        <f t="shared" si="12"/>
        <v>46200</v>
      </c>
      <c r="C422" s="41" t="s">
        <v>85</v>
      </c>
      <c r="D422" s="45" t="s">
        <v>86</v>
      </c>
      <c r="E422" s="45">
        <v>31816</v>
      </c>
      <c r="F422" s="45">
        <v>1</v>
      </c>
      <c r="G422" s="191">
        <v>19867476</v>
      </c>
      <c r="H422" s="54" t="s">
        <v>429</v>
      </c>
      <c r="I422" s="42"/>
      <c r="J422" s="43"/>
      <c r="K422" s="43">
        <f t="shared" si="13"/>
        <v>51.5</v>
      </c>
      <c r="L422" s="43"/>
      <c r="M422" s="43"/>
      <c r="N422" s="43"/>
      <c r="O422" s="43"/>
      <c r="P422" s="46">
        <v>51.5</v>
      </c>
      <c r="Q422" s="47"/>
      <c r="R422" s="40"/>
      <c r="S422" s="42"/>
      <c r="T422" s="41"/>
      <c r="U422" s="41"/>
      <c r="V422" s="48" t="s">
        <v>453</v>
      </c>
      <c r="W422" s="43"/>
      <c r="X422" s="44">
        <v>46200</v>
      </c>
      <c r="Y422" s="41" t="s">
        <v>454</v>
      </c>
      <c r="Z422" s="41"/>
      <c r="AA422" s="41"/>
      <c r="AB422" s="41" t="s">
        <v>937</v>
      </c>
      <c r="AC422" s="49"/>
      <c r="AD422" s="49">
        <v>1212</v>
      </c>
      <c r="AE422" s="50"/>
      <c r="AF422" s="51"/>
      <c r="AG422" s="51"/>
      <c r="AH422" s="52"/>
      <c r="AI422" s="52"/>
      <c r="AJ422" s="53"/>
      <c r="AK422" s="52"/>
      <c r="AL422" s="43">
        <v>18</v>
      </c>
      <c r="AM422" s="168" t="s">
        <v>938</v>
      </c>
      <c r="AN422" s="36"/>
      <c r="AO422" s="36"/>
      <c r="AP422" s="37"/>
    </row>
    <row r="423" spans="1:42" s="38" customFormat="1" ht="18.75" customHeight="1" x14ac:dyDescent="0.25">
      <c r="A423" s="44">
        <v>46200</v>
      </c>
      <c r="B423" s="40">
        <f t="shared" si="12"/>
        <v>46200</v>
      </c>
      <c r="C423" s="41" t="s">
        <v>85</v>
      </c>
      <c r="D423" s="45" t="s">
        <v>86</v>
      </c>
      <c r="E423" s="45">
        <v>31817</v>
      </c>
      <c r="F423" s="45">
        <v>1</v>
      </c>
      <c r="G423" s="191">
        <v>40816816</v>
      </c>
      <c r="H423" s="54" t="s">
        <v>239</v>
      </c>
      <c r="I423" s="42"/>
      <c r="J423" s="43"/>
      <c r="K423" s="43">
        <f t="shared" si="13"/>
        <v>30</v>
      </c>
      <c r="L423" s="43"/>
      <c r="M423" s="43"/>
      <c r="N423" s="43"/>
      <c r="O423" s="43"/>
      <c r="P423" s="46">
        <v>30</v>
      </c>
      <c r="Q423" s="47"/>
      <c r="R423" s="40"/>
      <c r="S423" s="42"/>
      <c r="T423" s="41"/>
      <c r="U423" s="41"/>
      <c r="V423" s="48" t="s">
        <v>453</v>
      </c>
      <c r="W423" s="43"/>
      <c r="X423" s="44">
        <v>46200</v>
      </c>
      <c r="Y423" s="41" t="s">
        <v>454</v>
      </c>
      <c r="Z423" s="41"/>
      <c r="AA423" s="41"/>
      <c r="AB423" s="41" t="s">
        <v>937</v>
      </c>
      <c r="AC423" s="49"/>
      <c r="AD423" s="49">
        <v>1212</v>
      </c>
      <c r="AE423" s="50"/>
      <c r="AF423" s="51"/>
      <c r="AG423" s="51"/>
      <c r="AH423" s="52"/>
      <c r="AI423" s="52"/>
      <c r="AJ423" s="53"/>
      <c r="AK423" s="52"/>
      <c r="AL423" s="43">
        <v>18</v>
      </c>
      <c r="AM423" s="168" t="s">
        <v>938</v>
      </c>
      <c r="AN423" s="36"/>
      <c r="AO423" s="36"/>
      <c r="AP423" s="37"/>
    </row>
    <row r="424" spans="1:42" s="38" customFormat="1" ht="18.75" customHeight="1" x14ac:dyDescent="0.25">
      <c r="A424" s="44">
        <v>46200</v>
      </c>
      <c r="B424" s="40">
        <f t="shared" si="12"/>
        <v>46200</v>
      </c>
      <c r="C424" s="41" t="s">
        <v>85</v>
      </c>
      <c r="D424" s="45" t="s">
        <v>86</v>
      </c>
      <c r="E424" s="45">
        <v>31818</v>
      </c>
      <c r="F424" s="45">
        <v>1</v>
      </c>
      <c r="G424" s="191">
        <v>74066435</v>
      </c>
      <c r="H424" s="54" t="s">
        <v>430</v>
      </c>
      <c r="I424" s="42"/>
      <c r="J424" s="43"/>
      <c r="K424" s="43">
        <f t="shared" si="13"/>
        <v>75</v>
      </c>
      <c r="L424" s="43"/>
      <c r="M424" s="43"/>
      <c r="N424" s="43"/>
      <c r="O424" s="43"/>
      <c r="P424" s="46">
        <v>75</v>
      </c>
      <c r="Q424" s="47"/>
      <c r="R424" s="40"/>
      <c r="S424" s="42"/>
      <c r="T424" s="41"/>
      <c r="U424" s="41"/>
      <c r="V424" s="48" t="s">
        <v>453</v>
      </c>
      <c r="W424" s="43"/>
      <c r="X424" s="44">
        <v>46200</v>
      </c>
      <c r="Y424" s="41" t="s">
        <v>454</v>
      </c>
      <c r="Z424" s="41"/>
      <c r="AA424" s="41"/>
      <c r="AB424" s="41" t="s">
        <v>937</v>
      </c>
      <c r="AC424" s="49"/>
      <c r="AD424" s="49">
        <v>1212</v>
      </c>
      <c r="AE424" s="50"/>
      <c r="AF424" s="51"/>
      <c r="AG424" s="51"/>
      <c r="AH424" s="52"/>
      <c r="AI424" s="52"/>
      <c r="AJ424" s="53"/>
      <c r="AK424" s="52"/>
      <c r="AL424" s="43">
        <v>18</v>
      </c>
      <c r="AM424" s="168" t="s">
        <v>938</v>
      </c>
      <c r="AN424" s="36"/>
      <c r="AO424" s="36"/>
      <c r="AP424" s="37"/>
    </row>
    <row r="425" spans="1:42" s="38" customFormat="1" ht="18.75" customHeight="1" x14ac:dyDescent="0.25">
      <c r="A425" s="44">
        <v>46200</v>
      </c>
      <c r="B425" s="40">
        <f t="shared" si="12"/>
        <v>46200</v>
      </c>
      <c r="C425" s="41" t="s">
        <v>85</v>
      </c>
      <c r="D425" s="45" t="s">
        <v>86</v>
      </c>
      <c r="E425" s="45">
        <v>31819</v>
      </c>
      <c r="F425" s="45">
        <v>1</v>
      </c>
      <c r="G425" s="191">
        <v>77085069</v>
      </c>
      <c r="H425" s="54" t="s">
        <v>431</v>
      </c>
      <c r="I425" s="42"/>
      <c r="J425" s="43"/>
      <c r="K425" s="43">
        <f t="shared" si="13"/>
        <v>25</v>
      </c>
      <c r="L425" s="43"/>
      <c r="M425" s="43"/>
      <c r="N425" s="43"/>
      <c r="O425" s="43"/>
      <c r="P425" s="46">
        <v>25</v>
      </c>
      <c r="Q425" s="47"/>
      <c r="R425" s="40"/>
      <c r="S425" s="42"/>
      <c r="T425" s="41"/>
      <c r="U425" s="41"/>
      <c r="V425" s="48" t="s">
        <v>453</v>
      </c>
      <c r="W425" s="43"/>
      <c r="X425" s="44">
        <v>46200</v>
      </c>
      <c r="Y425" s="41" t="s">
        <v>454</v>
      </c>
      <c r="Z425" s="41"/>
      <c r="AA425" s="41"/>
      <c r="AB425" s="41" t="s">
        <v>937</v>
      </c>
      <c r="AC425" s="49"/>
      <c r="AD425" s="49">
        <v>1212</v>
      </c>
      <c r="AE425" s="50"/>
      <c r="AF425" s="51"/>
      <c r="AG425" s="51"/>
      <c r="AH425" s="52"/>
      <c r="AI425" s="52"/>
      <c r="AJ425" s="53"/>
      <c r="AK425" s="52"/>
      <c r="AL425" s="43">
        <v>18</v>
      </c>
      <c r="AM425" s="168" t="s">
        <v>938</v>
      </c>
      <c r="AN425" s="36"/>
      <c r="AO425" s="36"/>
      <c r="AP425" s="37"/>
    </row>
    <row r="426" spans="1:42" s="38" customFormat="1" ht="18.75" customHeight="1" x14ac:dyDescent="0.25">
      <c r="A426" s="44">
        <v>46203</v>
      </c>
      <c r="B426" s="40">
        <f t="shared" si="12"/>
        <v>46203</v>
      </c>
      <c r="C426" s="41" t="s">
        <v>85</v>
      </c>
      <c r="D426" s="45" t="s">
        <v>86</v>
      </c>
      <c r="E426" s="45">
        <v>31820</v>
      </c>
      <c r="F426" s="45">
        <v>1</v>
      </c>
      <c r="G426" s="191">
        <v>45333894</v>
      </c>
      <c r="H426" s="54" t="s">
        <v>432</v>
      </c>
      <c r="I426" s="42"/>
      <c r="J426" s="43"/>
      <c r="K426" s="43">
        <f t="shared" si="13"/>
        <v>158</v>
      </c>
      <c r="L426" s="43"/>
      <c r="M426" s="43"/>
      <c r="N426" s="43"/>
      <c r="O426" s="43"/>
      <c r="P426" s="46">
        <v>158</v>
      </c>
      <c r="Q426" s="47"/>
      <c r="R426" s="40"/>
      <c r="S426" s="42"/>
      <c r="T426" s="41"/>
      <c r="U426" s="41"/>
      <c r="V426" s="48" t="s">
        <v>453</v>
      </c>
      <c r="W426" s="43"/>
      <c r="X426" s="44">
        <v>46203</v>
      </c>
      <c r="Y426" s="41" t="s">
        <v>454</v>
      </c>
      <c r="Z426" s="41"/>
      <c r="AA426" s="41"/>
      <c r="AB426" s="41" t="s">
        <v>937</v>
      </c>
      <c r="AC426" s="49"/>
      <c r="AD426" s="49">
        <v>1212</v>
      </c>
      <c r="AE426" s="50"/>
      <c r="AF426" s="51"/>
      <c r="AG426" s="51"/>
      <c r="AH426" s="52"/>
      <c r="AI426" s="52"/>
      <c r="AJ426" s="53"/>
      <c r="AK426" s="52"/>
      <c r="AL426" s="43">
        <v>18</v>
      </c>
      <c r="AM426" s="168" t="s">
        <v>938</v>
      </c>
      <c r="AN426" s="36"/>
      <c r="AO426" s="36"/>
      <c r="AP426" s="37"/>
    </row>
    <row r="427" spans="1:42" s="38" customFormat="1" ht="18.75" customHeight="1" x14ac:dyDescent="0.25">
      <c r="A427" s="44">
        <v>46203</v>
      </c>
      <c r="B427" s="40">
        <f t="shared" si="12"/>
        <v>46203</v>
      </c>
      <c r="C427" s="41" t="s">
        <v>85</v>
      </c>
      <c r="D427" s="45" t="s">
        <v>86</v>
      </c>
      <c r="E427" s="45">
        <v>31821</v>
      </c>
      <c r="F427" s="45">
        <v>6</v>
      </c>
      <c r="G427" s="191">
        <v>20603590687</v>
      </c>
      <c r="H427" s="54" t="s">
        <v>137</v>
      </c>
      <c r="I427" s="42"/>
      <c r="J427" s="43"/>
      <c r="K427" s="43">
        <f t="shared" si="13"/>
        <v>205</v>
      </c>
      <c r="L427" s="43"/>
      <c r="M427" s="43"/>
      <c r="N427" s="43"/>
      <c r="O427" s="43"/>
      <c r="P427" s="46">
        <v>205</v>
      </c>
      <c r="Q427" s="47"/>
      <c r="R427" s="40"/>
      <c r="S427" s="42"/>
      <c r="T427" s="41"/>
      <c r="U427" s="41"/>
      <c r="V427" s="48" t="s">
        <v>453</v>
      </c>
      <c r="W427" s="43"/>
      <c r="X427" s="44">
        <v>46203</v>
      </c>
      <c r="Y427" s="41" t="s">
        <v>454</v>
      </c>
      <c r="Z427" s="41"/>
      <c r="AA427" s="41"/>
      <c r="AB427" s="41" t="s">
        <v>937</v>
      </c>
      <c r="AC427" s="49"/>
      <c r="AD427" s="49">
        <v>1212</v>
      </c>
      <c r="AE427" s="50"/>
      <c r="AF427" s="51"/>
      <c r="AG427" s="51"/>
      <c r="AH427" s="52"/>
      <c r="AI427" s="52"/>
      <c r="AJ427" s="53"/>
      <c r="AK427" s="52"/>
      <c r="AL427" s="43">
        <v>18</v>
      </c>
      <c r="AM427" s="168" t="s">
        <v>938</v>
      </c>
      <c r="AN427" s="36"/>
      <c r="AO427" s="36"/>
      <c r="AP427" s="37"/>
    </row>
    <row r="428" spans="1:42" s="38" customFormat="1" ht="18.75" customHeight="1" x14ac:dyDescent="0.25">
      <c r="A428" s="44">
        <v>46203</v>
      </c>
      <c r="B428" s="40">
        <f t="shared" si="12"/>
        <v>46203</v>
      </c>
      <c r="C428" s="41" t="s">
        <v>85</v>
      </c>
      <c r="D428" s="45" t="s">
        <v>86</v>
      </c>
      <c r="E428" s="45">
        <v>31822</v>
      </c>
      <c r="F428" s="45">
        <v>1</v>
      </c>
      <c r="G428" s="191">
        <v>45535977</v>
      </c>
      <c r="H428" s="54" t="s">
        <v>433</v>
      </c>
      <c r="I428" s="42"/>
      <c r="J428" s="43"/>
      <c r="K428" s="43">
        <f t="shared" si="13"/>
        <v>90.7</v>
      </c>
      <c r="L428" s="43"/>
      <c r="M428" s="43"/>
      <c r="N428" s="43"/>
      <c r="O428" s="43"/>
      <c r="P428" s="46">
        <v>90.7</v>
      </c>
      <c r="Q428" s="47"/>
      <c r="R428" s="40"/>
      <c r="S428" s="42"/>
      <c r="T428" s="41"/>
      <c r="U428" s="41"/>
      <c r="V428" s="48" t="s">
        <v>453</v>
      </c>
      <c r="W428" s="43"/>
      <c r="X428" s="44">
        <v>46203</v>
      </c>
      <c r="Y428" s="41" t="s">
        <v>454</v>
      </c>
      <c r="Z428" s="41"/>
      <c r="AA428" s="41"/>
      <c r="AB428" s="41" t="s">
        <v>937</v>
      </c>
      <c r="AC428" s="49"/>
      <c r="AD428" s="49">
        <v>1212</v>
      </c>
      <c r="AE428" s="50"/>
      <c r="AF428" s="51"/>
      <c r="AG428" s="51"/>
      <c r="AH428" s="52"/>
      <c r="AI428" s="52"/>
      <c r="AJ428" s="53"/>
      <c r="AK428" s="52"/>
      <c r="AL428" s="43">
        <v>18</v>
      </c>
      <c r="AM428" s="168" t="s">
        <v>938</v>
      </c>
      <c r="AN428" s="36"/>
      <c r="AO428" s="36"/>
      <c r="AP428" s="37"/>
    </row>
    <row r="429" spans="1:42" s="38" customFormat="1" ht="18.75" customHeight="1" x14ac:dyDescent="0.25">
      <c r="A429" s="44">
        <v>46203</v>
      </c>
      <c r="B429" s="40">
        <f t="shared" si="12"/>
        <v>46203</v>
      </c>
      <c r="C429" s="41" t="s">
        <v>85</v>
      </c>
      <c r="D429" s="45" t="s">
        <v>86</v>
      </c>
      <c r="E429" s="45">
        <v>31823</v>
      </c>
      <c r="F429" s="45">
        <v>1</v>
      </c>
      <c r="G429" s="191">
        <v>49093280</v>
      </c>
      <c r="H429" s="54" t="s">
        <v>434</v>
      </c>
      <c r="I429" s="42"/>
      <c r="J429" s="43"/>
      <c r="K429" s="43">
        <f t="shared" si="13"/>
        <v>15</v>
      </c>
      <c r="L429" s="43"/>
      <c r="M429" s="43"/>
      <c r="N429" s="43"/>
      <c r="O429" s="43"/>
      <c r="P429" s="46">
        <v>15</v>
      </c>
      <c r="Q429" s="47"/>
      <c r="R429" s="40"/>
      <c r="S429" s="42"/>
      <c r="T429" s="41"/>
      <c r="U429" s="41"/>
      <c r="V429" s="48" t="s">
        <v>453</v>
      </c>
      <c r="W429" s="43"/>
      <c r="X429" s="44">
        <v>46203</v>
      </c>
      <c r="Y429" s="41" t="s">
        <v>454</v>
      </c>
      <c r="Z429" s="41"/>
      <c r="AA429" s="41"/>
      <c r="AB429" s="41" t="s">
        <v>937</v>
      </c>
      <c r="AC429" s="49"/>
      <c r="AD429" s="49">
        <v>1212</v>
      </c>
      <c r="AE429" s="50"/>
      <c r="AF429" s="51"/>
      <c r="AG429" s="51"/>
      <c r="AH429" s="52"/>
      <c r="AI429" s="52"/>
      <c r="AJ429" s="53"/>
      <c r="AK429" s="52"/>
      <c r="AL429" s="43">
        <v>18</v>
      </c>
      <c r="AM429" s="168" t="s">
        <v>938</v>
      </c>
      <c r="AN429" s="36"/>
      <c r="AO429" s="36"/>
      <c r="AP429" s="37"/>
    </row>
    <row r="430" spans="1:42" s="38" customFormat="1" ht="18.75" customHeight="1" x14ac:dyDescent="0.25">
      <c r="A430" s="44">
        <v>46203</v>
      </c>
      <c r="B430" s="40">
        <f t="shared" si="12"/>
        <v>46203</v>
      </c>
      <c r="C430" s="41" t="s">
        <v>85</v>
      </c>
      <c r="D430" s="45" t="s">
        <v>86</v>
      </c>
      <c r="E430" s="45">
        <v>31824</v>
      </c>
      <c r="F430" s="45">
        <v>1</v>
      </c>
      <c r="G430" s="191">
        <v>73204590</v>
      </c>
      <c r="H430" s="54" t="s">
        <v>435</v>
      </c>
      <c r="I430" s="42"/>
      <c r="J430" s="43"/>
      <c r="K430" s="43">
        <f t="shared" si="13"/>
        <v>30</v>
      </c>
      <c r="L430" s="43"/>
      <c r="M430" s="43"/>
      <c r="N430" s="43"/>
      <c r="O430" s="43"/>
      <c r="P430" s="46">
        <v>30</v>
      </c>
      <c r="Q430" s="47"/>
      <c r="R430" s="40"/>
      <c r="S430" s="42"/>
      <c r="T430" s="41"/>
      <c r="U430" s="41"/>
      <c r="V430" s="48" t="s">
        <v>453</v>
      </c>
      <c r="W430" s="43"/>
      <c r="X430" s="44">
        <v>46203</v>
      </c>
      <c r="Y430" s="41" t="s">
        <v>454</v>
      </c>
      <c r="Z430" s="41"/>
      <c r="AA430" s="41"/>
      <c r="AB430" s="41" t="s">
        <v>937</v>
      </c>
      <c r="AC430" s="49"/>
      <c r="AD430" s="49">
        <v>1212</v>
      </c>
      <c r="AE430" s="50"/>
      <c r="AF430" s="51"/>
      <c r="AG430" s="51"/>
      <c r="AH430" s="52"/>
      <c r="AI430" s="52"/>
      <c r="AJ430" s="53"/>
      <c r="AK430" s="52"/>
      <c r="AL430" s="43">
        <v>18</v>
      </c>
      <c r="AM430" s="168" t="s">
        <v>938</v>
      </c>
      <c r="AN430" s="36"/>
      <c r="AO430" s="36"/>
      <c r="AP430" s="37"/>
    </row>
    <row r="431" spans="1:42" s="38" customFormat="1" ht="18.75" customHeight="1" x14ac:dyDescent="0.25">
      <c r="A431" s="44">
        <v>46203</v>
      </c>
      <c r="B431" s="40">
        <f t="shared" si="12"/>
        <v>46203</v>
      </c>
      <c r="C431" s="41" t="s">
        <v>85</v>
      </c>
      <c r="D431" s="45" t="s">
        <v>86</v>
      </c>
      <c r="E431" s="45">
        <v>31825</v>
      </c>
      <c r="F431" s="45">
        <v>1</v>
      </c>
      <c r="G431" s="191">
        <v>42172729</v>
      </c>
      <c r="H431" s="54" t="s">
        <v>436</v>
      </c>
      <c r="I431" s="42"/>
      <c r="J431" s="43"/>
      <c r="K431" s="43">
        <f t="shared" si="13"/>
        <v>40</v>
      </c>
      <c r="L431" s="43"/>
      <c r="M431" s="43"/>
      <c r="N431" s="43"/>
      <c r="O431" s="43"/>
      <c r="P431" s="46">
        <v>40</v>
      </c>
      <c r="Q431" s="47"/>
      <c r="R431" s="40"/>
      <c r="S431" s="42"/>
      <c r="T431" s="41"/>
      <c r="U431" s="41"/>
      <c r="V431" s="48" t="s">
        <v>453</v>
      </c>
      <c r="W431" s="43"/>
      <c r="X431" s="44">
        <v>46203</v>
      </c>
      <c r="Y431" s="41" t="s">
        <v>454</v>
      </c>
      <c r="Z431" s="41"/>
      <c r="AA431" s="41"/>
      <c r="AB431" s="41" t="s">
        <v>937</v>
      </c>
      <c r="AC431" s="49"/>
      <c r="AD431" s="49">
        <v>1212</v>
      </c>
      <c r="AE431" s="50"/>
      <c r="AF431" s="51"/>
      <c r="AG431" s="51"/>
      <c r="AH431" s="52"/>
      <c r="AI431" s="52"/>
      <c r="AJ431" s="53"/>
      <c r="AK431" s="52"/>
      <c r="AL431" s="43">
        <v>18</v>
      </c>
      <c r="AM431" s="168" t="s">
        <v>938</v>
      </c>
      <c r="AN431" s="36"/>
      <c r="AO431" s="36"/>
      <c r="AP431" s="37"/>
    </row>
    <row r="432" spans="1:42" s="38" customFormat="1" ht="18.75" customHeight="1" x14ac:dyDescent="0.25">
      <c r="A432" s="44">
        <v>46203</v>
      </c>
      <c r="B432" s="40">
        <f t="shared" si="12"/>
        <v>46203</v>
      </c>
      <c r="C432" s="41" t="s">
        <v>85</v>
      </c>
      <c r="D432" s="45" t="s">
        <v>86</v>
      </c>
      <c r="E432" s="45">
        <v>31826</v>
      </c>
      <c r="F432" s="45">
        <v>1</v>
      </c>
      <c r="G432" s="191">
        <v>19825066</v>
      </c>
      <c r="H432" s="54" t="s">
        <v>437</v>
      </c>
      <c r="I432" s="42"/>
      <c r="J432" s="43"/>
      <c r="K432" s="43">
        <f t="shared" si="13"/>
        <v>15</v>
      </c>
      <c r="L432" s="43"/>
      <c r="M432" s="43"/>
      <c r="N432" s="43"/>
      <c r="O432" s="43"/>
      <c r="P432" s="46">
        <v>15</v>
      </c>
      <c r="Q432" s="47"/>
      <c r="R432" s="40"/>
      <c r="S432" s="42"/>
      <c r="T432" s="41"/>
      <c r="U432" s="41"/>
      <c r="V432" s="48" t="s">
        <v>453</v>
      </c>
      <c r="W432" s="43"/>
      <c r="X432" s="44">
        <v>46203</v>
      </c>
      <c r="Y432" s="41" t="s">
        <v>454</v>
      </c>
      <c r="Z432" s="41"/>
      <c r="AA432" s="41"/>
      <c r="AB432" s="41" t="s">
        <v>937</v>
      </c>
      <c r="AC432" s="49"/>
      <c r="AD432" s="49">
        <v>1212</v>
      </c>
      <c r="AE432" s="50"/>
      <c r="AF432" s="51"/>
      <c r="AG432" s="51"/>
      <c r="AH432" s="52"/>
      <c r="AI432" s="52"/>
      <c r="AJ432" s="53"/>
      <c r="AK432" s="52"/>
      <c r="AL432" s="43">
        <v>18</v>
      </c>
      <c r="AM432" s="168" t="s">
        <v>938</v>
      </c>
      <c r="AN432" s="36"/>
      <c r="AO432" s="36"/>
      <c r="AP432" s="37"/>
    </row>
    <row r="433" spans="1:42" s="38" customFormat="1" ht="18.75" customHeight="1" x14ac:dyDescent="0.25">
      <c r="A433" s="44">
        <v>46203</v>
      </c>
      <c r="B433" s="40">
        <f t="shared" si="12"/>
        <v>46203</v>
      </c>
      <c r="C433" s="41" t="s">
        <v>85</v>
      </c>
      <c r="D433" s="45" t="s">
        <v>86</v>
      </c>
      <c r="E433" s="45">
        <v>31827</v>
      </c>
      <c r="F433" s="45">
        <v>1</v>
      </c>
      <c r="G433" s="191">
        <v>63001373</v>
      </c>
      <c r="H433" s="54" t="s">
        <v>438</v>
      </c>
      <c r="I433" s="42"/>
      <c r="J433" s="43"/>
      <c r="K433" s="43">
        <f t="shared" si="13"/>
        <v>7</v>
      </c>
      <c r="L433" s="43"/>
      <c r="M433" s="43"/>
      <c r="N433" s="43"/>
      <c r="O433" s="43"/>
      <c r="P433" s="46">
        <v>7</v>
      </c>
      <c r="Q433" s="47"/>
      <c r="R433" s="40"/>
      <c r="S433" s="42"/>
      <c r="T433" s="41"/>
      <c r="U433" s="41"/>
      <c r="V433" s="48" t="s">
        <v>453</v>
      </c>
      <c r="W433" s="43"/>
      <c r="X433" s="44">
        <v>46203</v>
      </c>
      <c r="Y433" s="41" t="s">
        <v>454</v>
      </c>
      <c r="Z433" s="41"/>
      <c r="AA433" s="41"/>
      <c r="AB433" s="41" t="s">
        <v>937</v>
      </c>
      <c r="AC433" s="49"/>
      <c r="AD433" s="49">
        <v>1212</v>
      </c>
      <c r="AE433" s="50"/>
      <c r="AF433" s="51"/>
      <c r="AG433" s="51"/>
      <c r="AH433" s="52"/>
      <c r="AI433" s="52"/>
      <c r="AJ433" s="53"/>
      <c r="AK433" s="52"/>
      <c r="AL433" s="43">
        <v>18</v>
      </c>
      <c r="AM433" s="168" t="s">
        <v>938</v>
      </c>
      <c r="AN433" s="36"/>
      <c r="AO433" s="36"/>
      <c r="AP433" s="37"/>
    </row>
    <row r="434" spans="1:42" s="38" customFormat="1" ht="18.75" customHeight="1" x14ac:dyDescent="0.25">
      <c r="A434" s="44">
        <v>46203</v>
      </c>
      <c r="B434" s="40">
        <f t="shared" si="12"/>
        <v>46203</v>
      </c>
      <c r="C434" s="41" t="s">
        <v>85</v>
      </c>
      <c r="D434" s="45" t="s">
        <v>86</v>
      </c>
      <c r="E434" s="45">
        <v>31828</v>
      </c>
      <c r="F434" s="45">
        <v>1</v>
      </c>
      <c r="G434" s="191">
        <v>46475149</v>
      </c>
      <c r="H434" s="54" t="s">
        <v>439</v>
      </c>
      <c r="I434" s="42"/>
      <c r="J434" s="43"/>
      <c r="K434" s="43">
        <f t="shared" si="13"/>
        <v>69.900000000000006</v>
      </c>
      <c r="L434" s="43"/>
      <c r="M434" s="43"/>
      <c r="N434" s="43"/>
      <c r="O434" s="43"/>
      <c r="P434" s="46">
        <v>69.900000000000006</v>
      </c>
      <c r="Q434" s="47"/>
      <c r="R434" s="40"/>
      <c r="S434" s="42"/>
      <c r="T434" s="41"/>
      <c r="U434" s="41"/>
      <c r="V434" s="48" t="s">
        <v>453</v>
      </c>
      <c r="W434" s="43"/>
      <c r="X434" s="44">
        <v>46203</v>
      </c>
      <c r="Y434" s="41" t="s">
        <v>454</v>
      </c>
      <c r="Z434" s="41"/>
      <c r="AA434" s="41"/>
      <c r="AB434" s="41" t="s">
        <v>937</v>
      </c>
      <c r="AC434" s="49"/>
      <c r="AD434" s="49">
        <v>1212</v>
      </c>
      <c r="AE434" s="50"/>
      <c r="AF434" s="51"/>
      <c r="AG434" s="51"/>
      <c r="AH434" s="52"/>
      <c r="AI434" s="52"/>
      <c r="AJ434" s="53"/>
      <c r="AK434" s="52"/>
      <c r="AL434" s="43">
        <v>18</v>
      </c>
      <c r="AM434" s="168" t="s">
        <v>938</v>
      </c>
      <c r="AN434" s="36"/>
      <c r="AO434" s="36"/>
      <c r="AP434" s="37"/>
    </row>
    <row r="435" spans="1:42" s="38" customFormat="1" ht="18.75" customHeight="1" x14ac:dyDescent="0.25">
      <c r="A435" s="44">
        <v>46203</v>
      </c>
      <c r="B435" s="40">
        <f t="shared" si="12"/>
        <v>46203</v>
      </c>
      <c r="C435" s="41" t="s">
        <v>85</v>
      </c>
      <c r="D435" s="45" t="s">
        <v>86</v>
      </c>
      <c r="E435" s="45">
        <v>31829</v>
      </c>
      <c r="F435" s="45">
        <v>1</v>
      </c>
      <c r="G435" s="191">
        <v>20040455</v>
      </c>
      <c r="H435" s="54" t="s">
        <v>440</v>
      </c>
      <c r="I435" s="42"/>
      <c r="J435" s="43"/>
      <c r="K435" s="43">
        <f t="shared" si="13"/>
        <v>14</v>
      </c>
      <c r="L435" s="43"/>
      <c r="M435" s="43"/>
      <c r="N435" s="43"/>
      <c r="O435" s="43"/>
      <c r="P435" s="46">
        <v>14</v>
      </c>
      <c r="Q435" s="47"/>
      <c r="R435" s="40"/>
      <c r="S435" s="42"/>
      <c r="T435" s="41"/>
      <c r="U435" s="41"/>
      <c r="V435" s="48" t="s">
        <v>453</v>
      </c>
      <c r="W435" s="43"/>
      <c r="X435" s="44">
        <v>46203</v>
      </c>
      <c r="Y435" s="41" t="s">
        <v>454</v>
      </c>
      <c r="Z435" s="41"/>
      <c r="AA435" s="41"/>
      <c r="AB435" s="41" t="s">
        <v>937</v>
      </c>
      <c r="AC435" s="49"/>
      <c r="AD435" s="49">
        <v>1212</v>
      </c>
      <c r="AE435" s="50"/>
      <c r="AF435" s="51"/>
      <c r="AG435" s="51"/>
      <c r="AH435" s="52"/>
      <c r="AI435" s="52"/>
      <c r="AJ435" s="53"/>
      <c r="AK435" s="52"/>
      <c r="AL435" s="43">
        <v>18</v>
      </c>
      <c r="AM435" s="168" t="s">
        <v>938</v>
      </c>
      <c r="AN435" s="36"/>
      <c r="AO435" s="36"/>
      <c r="AP435" s="37"/>
    </row>
    <row r="436" spans="1:42" s="38" customFormat="1" ht="18.75" customHeight="1" x14ac:dyDescent="0.25">
      <c r="A436" s="44">
        <v>46203</v>
      </c>
      <c r="B436" s="40">
        <f t="shared" si="12"/>
        <v>46203</v>
      </c>
      <c r="C436" s="41" t="s">
        <v>85</v>
      </c>
      <c r="D436" s="45" t="s">
        <v>86</v>
      </c>
      <c r="E436" s="45">
        <v>31830</v>
      </c>
      <c r="F436" s="45">
        <v>1</v>
      </c>
      <c r="G436" s="191">
        <v>41677593</v>
      </c>
      <c r="H436" s="54" t="s">
        <v>441</v>
      </c>
      <c r="I436" s="42"/>
      <c r="J436" s="43"/>
      <c r="K436" s="43">
        <f t="shared" si="13"/>
        <v>25</v>
      </c>
      <c r="L436" s="43"/>
      <c r="M436" s="43"/>
      <c r="N436" s="43"/>
      <c r="O436" s="43"/>
      <c r="P436" s="46">
        <v>25</v>
      </c>
      <c r="Q436" s="47"/>
      <c r="R436" s="40"/>
      <c r="S436" s="42"/>
      <c r="T436" s="41"/>
      <c r="U436" s="41"/>
      <c r="V436" s="48" t="s">
        <v>453</v>
      </c>
      <c r="W436" s="43"/>
      <c r="X436" s="44">
        <v>46203</v>
      </c>
      <c r="Y436" s="41" t="s">
        <v>454</v>
      </c>
      <c r="Z436" s="41"/>
      <c r="AA436" s="41"/>
      <c r="AB436" s="41" t="s">
        <v>937</v>
      </c>
      <c r="AC436" s="49"/>
      <c r="AD436" s="49">
        <v>1212</v>
      </c>
      <c r="AE436" s="50"/>
      <c r="AF436" s="51"/>
      <c r="AG436" s="51"/>
      <c r="AH436" s="52"/>
      <c r="AI436" s="52"/>
      <c r="AJ436" s="53"/>
      <c r="AK436" s="52"/>
      <c r="AL436" s="43">
        <v>18</v>
      </c>
      <c r="AM436" s="168" t="s">
        <v>938</v>
      </c>
      <c r="AN436" s="36"/>
      <c r="AO436" s="36"/>
      <c r="AP436" s="37"/>
    </row>
    <row r="437" spans="1:42" s="38" customFormat="1" ht="18.75" customHeight="1" x14ac:dyDescent="0.25">
      <c r="A437" s="44">
        <v>46203</v>
      </c>
      <c r="B437" s="40">
        <f t="shared" si="12"/>
        <v>46203</v>
      </c>
      <c r="C437" s="41" t="s">
        <v>85</v>
      </c>
      <c r="D437" s="45" t="s">
        <v>86</v>
      </c>
      <c r="E437" s="45">
        <v>31831</v>
      </c>
      <c r="F437" s="45">
        <v>1</v>
      </c>
      <c r="G437" s="191">
        <v>46280209</v>
      </c>
      <c r="H437" s="54" t="s">
        <v>442</v>
      </c>
      <c r="I437" s="42"/>
      <c r="J437" s="43"/>
      <c r="K437" s="43">
        <f t="shared" si="13"/>
        <v>15.8</v>
      </c>
      <c r="L437" s="43"/>
      <c r="M437" s="43"/>
      <c r="N437" s="43"/>
      <c r="O437" s="43"/>
      <c r="P437" s="46">
        <v>15.8</v>
      </c>
      <c r="Q437" s="47"/>
      <c r="R437" s="40"/>
      <c r="S437" s="42"/>
      <c r="T437" s="41"/>
      <c r="U437" s="41"/>
      <c r="V437" s="48" t="s">
        <v>453</v>
      </c>
      <c r="W437" s="43"/>
      <c r="X437" s="44">
        <v>46203</v>
      </c>
      <c r="Y437" s="41" t="s">
        <v>454</v>
      </c>
      <c r="Z437" s="41"/>
      <c r="AA437" s="41"/>
      <c r="AB437" s="41" t="s">
        <v>937</v>
      </c>
      <c r="AC437" s="49"/>
      <c r="AD437" s="49">
        <v>1212</v>
      </c>
      <c r="AE437" s="50"/>
      <c r="AF437" s="51"/>
      <c r="AG437" s="51"/>
      <c r="AH437" s="52"/>
      <c r="AI437" s="52"/>
      <c r="AJ437" s="53"/>
      <c r="AK437" s="52"/>
      <c r="AL437" s="43">
        <v>18</v>
      </c>
      <c r="AM437" s="168" t="s">
        <v>938</v>
      </c>
      <c r="AN437" s="36"/>
      <c r="AO437" s="36"/>
      <c r="AP437" s="37"/>
    </row>
    <row r="438" spans="1:42" s="38" customFormat="1" ht="18.75" customHeight="1" x14ac:dyDescent="0.25">
      <c r="A438" s="44">
        <v>46203</v>
      </c>
      <c r="B438" s="40">
        <f t="shared" si="12"/>
        <v>46203</v>
      </c>
      <c r="C438" s="41" t="s">
        <v>85</v>
      </c>
      <c r="D438" s="45" t="s">
        <v>86</v>
      </c>
      <c r="E438" s="45">
        <v>31832</v>
      </c>
      <c r="F438" s="45">
        <v>1</v>
      </c>
      <c r="G438" s="191">
        <v>47028229</v>
      </c>
      <c r="H438" s="54" t="s">
        <v>443</v>
      </c>
      <c r="I438" s="42"/>
      <c r="J438" s="43"/>
      <c r="K438" s="43">
        <f t="shared" si="13"/>
        <v>15.9</v>
      </c>
      <c r="L438" s="43"/>
      <c r="M438" s="43"/>
      <c r="N438" s="43"/>
      <c r="O438" s="43"/>
      <c r="P438" s="46">
        <v>15.9</v>
      </c>
      <c r="Q438" s="47"/>
      <c r="R438" s="40"/>
      <c r="S438" s="42"/>
      <c r="T438" s="41"/>
      <c r="U438" s="41"/>
      <c r="V438" s="48" t="s">
        <v>453</v>
      </c>
      <c r="W438" s="43"/>
      <c r="X438" s="44">
        <v>46203</v>
      </c>
      <c r="Y438" s="41" t="s">
        <v>454</v>
      </c>
      <c r="Z438" s="41"/>
      <c r="AA438" s="41"/>
      <c r="AB438" s="41" t="s">
        <v>937</v>
      </c>
      <c r="AC438" s="49"/>
      <c r="AD438" s="49">
        <v>1212</v>
      </c>
      <c r="AE438" s="50"/>
      <c r="AF438" s="51"/>
      <c r="AG438" s="51"/>
      <c r="AH438" s="52"/>
      <c r="AI438" s="52"/>
      <c r="AJ438" s="53"/>
      <c r="AK438" s="52"/>
      <c r="AL438" s="43">
        <v>18</v>
      </c>
      <c r="AM438" s="168" t="s">
        <v>938</v>
      </c>
      <c r="AN438" s="36"/>
      <c r="AO438" s="36"/>
      <c r="AP438" s="37"/>
    </row>
    <row r="439" spans="1:42" s="38" customFormat="1" ht="18.75" customHeight="1" x14ac:dyDescent="0.25">
      <c r="A439" s="44">
        <v>46203</v>
      </c>
      <c r="B439" s="40">
        <f t="shared" si="12"/>
        <v>46203</v>
      </c>
      <c r="C439" s="41" t="s">
        <v>85</v>
      </c>
      <c r="D439" s="45" t="s">
        <v>86</v>
      </c>
      <c r="E439" s="45">
        <v>31833</v>
      </c>
      <c r="F439" s="45">
        <v>1</v>
      </c>
      <c r="G439" s="191">
        <v>43655116</v>
      </c>
      <c r="H439" s="54" t="s">
        <v>444</v>
      </c>
      <c r="I439" s="42"/>
      <c r="J439" s="43"/>
      <c r="K439" s="43">
        <f t="shared" si="13"/>
        <v>13</v>
      </c>
      <c r="L439" s="43"/>
      <c r="M439" s="43"/>
      <c r="N439" s="43"/>
      <c r="O439" s="43"/>
      <c r="P439" s="46">
        <v>13</v>
      </c>
      <c r="Q439" s="47"/>
      <c r="R439" s="40"/>
      <c r="S439" s="42"/>
      <c r="T439" s="41"/>
      <c r="U439" s="41"/>
      <c r="V439" s="48" t="s">
        <v>453</v>
      </c>
      <c r="W439" s="43"/>
      <c r="X439" s="44">
        <v>46203</v>
      </c>
      <c r="Y439" s="41" t="s">
        <v>454</v>
      </c>
      <c r="Z439" s="41"/>
      <c r="AA439" s="41"/>
      <c r="AB439" s="41" t="s">
        <v>937</v>
      </c>
      <c r="AC439" s="49"/>
      <c r="AD439" s="49">
        <v>1212</v>
      </c>
      <c r="AE439" s="50"/>
      <c r="AF439" s="51"/>
      <c r="AG439" s="51"/>
      <c r="AH439" s="52"/>
      <c r="AI439" s="52"/>
      <c r="AJ439" s="53"/>
      <c r="AK439" s="52"/>
      <c r="AL439" s="43">
        <v>18</v>
      </c>
      <c r="AM439" s="168" t="s">
        <v>938</v>
      </c>
      <c r="AN439" s="36"/>
      <c r="AO439" s="36"/>
      <c r="AP439" s="37"/>
    </row>
    <row r="440" spans="1:42" s="38" customFormat="1" ht="18.75" customHeight="1" x14ac:dyDescent="0.25">
      <c r="A440" s="44">
        <v>46203</v>
      </c>
      <c r="B440" s="40">
        <f t="shared" si="12"/>
        <v>46203</v>
      </c>
      <c r="C440" s="41" t="s">
        <v>85</v>
      </c>
      <c r="D440" s="45" t="s">
        <v>86</v>
      </c>
      <c r="E440" s="45">
        <v>31834</v>
      </c>
      <c r="F440" s="45">
        <v>1</v>
      </c>
      <c r="G440" s="191">
        <v>20432500</v>
      </c>
      <c r="H440" s="54" t="s">
        <v>321</v>
      </c>
      <c r="I440" s="42"/>
      <c r="J440" s="43"/>
      <c r="K440" s="43">
        <f t="shared" si="13"/>
        <v>85</v>
      </c>
      <c r="L440" s="43"/>
      <c r="M440" s="43"/>
      <c r="N440" s="43"/>
      <c r="O440" s="43"/>
      <c r="P440" s="46">
        <v>85</v>
      </c>
      <c r="Q440" s="47"/>
      <c r="R440" s="40"/>
      <c r="S440" s="42"/>
      <c r="T440" s="41"/>
      <c r="U440" s="41"/>
      <c r="V440" s="48" t="s">
        <v>453</v>
      </c>
      <c r="W440" s="43"/>
      <c r="X440" s="44">
        <v>46203</v>
      </c>
      <c r="Y440" s="41" t="s">
        <v>454</v>
      </c>
      <c r="Z440" s="41"/>
      <c r="AA440" s="41"/>
      <c r="AB440" s="41" t="s">
        <v>937</v>
      </c>
      <c r="AC440" s="49"/>
      <c r="AD440" s="49">
        <v>1212</v>
      </c>
      <c r="AE440" s="50"/>
      <c r="AF440" s="51"/>
      <c r="AG440" s="51"/>
      <c r="AH440" s="52"/>
      <c r="AI440" s="52"/>
      <c r="AJ440" s="53"/>
      <c r="AK440" s="52"/>
      <c r="AL440" s="43">
        <v>18</v>
      </c>
      <c r="AM440" s="168" t="s">
        <v>938</v>
      </c>
      <c r="AN440" s="36"/>
      <c r="AO440" s="36"/>
      <c r="AP440" s="37"/>
    </row>
    <row r="441" spans="1:42" s="38" customFormat="1" ht="18.75" customHeight="1" x14ac:dyDescent="0.25">
      <c r="A441" s="44">
        <v>46203</v>
      </c>
      <c r="B441" s="40">
        <f t="shared" ref="B441:B451" si="14">+A441</f>
        <v>46203</v>
      </c>
      <c r="C441" s="41" t="s">
        <v>85</v>
      </c>
      <c r="D441" s="45" t="s">
        <v>86</v>
      </c>
      <c r="E441" s="45">
        <v>31835</v>
      </c>
      <c r="F441" s="45">
        <v>1</v>
      </c>
      <c r="G441" s="191">
        <v>42739951</v>
      </c>
      <c r="H441" s="54" t="s">
        <v>445</v>
      </c>
      <c r="I441" s="42"/>
      <c r="J441" s="43"/>
      <c r="K441" s="43">
        <f t="shared" ref="K441:K451" si="15">+P441</f>
        <v>15</v>
      </c>
      <c r="L441" s="43"/>
      <c r="M441" s="43"/>
      <c r="N441" s="43"/>
      <c r="O441" s="43"/>
      <c r="P441" s="46">
        <v>15</v>
      </c>
      <c r="Q441" s="47"/>
      <c r="R441" s="40"/>
      <c r="S441" s="42"/>
      <c r="T441" s="41"/>
      <c r="U441" s="41"/>
      <c r="V441" s="48" t="s">
        <v>453</v>
      </c>
      <c r="W441" s="43"/>
      <c r="X441" s="44">
        <v>46203</v>
      </c>
      <c r="Y441" s="41" t="s">
        <v>454</v>
      </c>
      <c r="Z441" s="41"/>
      <c r="AA441" s="41"/>
      <c r="AB441" s="41" t="s">
        <v>937</v>
      </c>
      <c r="AC441" s="49"/>
      <c r="AD441" s="49">
        <v>1212</v>
      </c>
      <c r="AE441" s="50"/>
      <c r="AF441" s="51"/>
      <c r="AG441" s="51"/>
      <c r="AH441" s="52"/>
      <c r="AI441" s="52"/>
      <c r="AJ441" s="53"/>
      <c r="AK441" s="52"/>
      <c r="AL441" s="43">
        <v>18</v>
      </c>
      <c r="AM441" s="168" t="s">
        <v>938</v>
      </c>
      <c r="AN441" s="36"/>
      <c r="AO441" s="36"/>
      <c r="AP441" s="37"/>
    </row>
    <row r="442" spans="1:42" s="38" customFormat="1" ht="18.75" customHeight="1" x14ac:dyDescent="0.25">
      <c r="A442" s="44">
        <v>46203</v>
      </c>
      <c r="B442" s="40">
        <f t="shared" si="14"/>
        <v>46203</v>
      </c>
      <c r="C442" s="41" t="s">
        <v>85</v>
      </c>
      <c r="D442" s="45" t="s">
        <v>86</v>
      </c>
      <c r="E442" s="45">
        <v>31836</v>
      </c>
      <c r="F442" s="45">
        <v>1</v>
      </c>
      <c r="G442" s="191">
        <v>20432500</v>
      </c>
      <c r="H442" s="54" t="s">
        <v>321</v>
      </c>
      <c r="I442" s="42"/>
      <c r="J442" s="43"/>
      <c r="K442" s="43">
        <f t="shared" si="15"/>
        <v>20</v>
      </c>
      <c r="L442" s="43"/>
      <c r="M442" s="43"/>
      <c r="N442" s="43"/>
      <c r="O442" s="43"/>
      <c r="P442" s="46">
        <v>20</v>
      </c>
      <c r="Q442" s="47"/>
      <c r="R442" s="40"/>
      <c r="S442" s="42"/>
      <c r="T442" s="41"/>
      <c r="U442" s="41"/>
      <c r="V442" s="48" t="s">
        <v>453</v>
      </c>
      <c r="W442" s="43"/>
      <c r="X442" s="44">
        <v>46203</v>
      </c>
      <c r="Y442" s="41" t="s">
        <v>454</v>
      </c>
      <c r="Z442" s="41"/>
      <c r="AA442" s="41"/>
      <c r="AB442" s="41" t="s">
        <v>937</v>
      </c>
      <c r="AC442" s="49"/>
      <c r="AD442" s="49">
        <v>1212</v>
      </c>
      <c r="AE442" s="50"/>
      <c r="AF442" s="51"/>
      <c r="AG442" s="51"/>
      <c r="AH442" s="52"/>
      <c r="AI442" s="52"/>
      <c r="AJ442" s="53"/>
      <c r="AK442" s="52"/>
      <c r="AL442" s="43">
        <v>18</v>
      </c>
      <c r="AM442" s="168" t="s">
        <v>938</v>
      </c>
      <c r="AN442" s="36"/>
      <c r="AO442" s="36"/>
      <c r="AP442" s="37"/>
    </row>
    <row r="443" spans="1:42" s="38" customFormat="1" ht="18.75" customHeight="1" x14ac:dyDescent="0.25">
      <c r="A443" s="44">
        <v>46203</v>
      </c>
      <c r="B443" s="40">
        <f t="shared" si="14"/>
        <v>46203</v>
      </c>
      <c r="C443" s="41" t="s">
        <v>85</v>
      </c>
      <c r="D443" s="45" t="s">
        <v>86</v>
      </c>
      <c r="E443" s="45">
        <v>31837</v>
      </c>
      <c r="F443" s="45">
        <v>1</v>
      </c>
      <c r="G443" s="191">
        <v>19928969</v>
      </c>
      <c r="H443" s="54" t="s">
        <v>446</v>
      </c>
      <c r="I443" s="42"/>
      <c r="J443" s="43"/>
      <c r="K443" s="43">
        <f t="shared" si="15"/>
        <v>12.5</v>
      </c>
      <c r="L443" s="43"/>
      <c r="M443" s="43"/>
      <c r="N443" s="43"/>
      <c r="O443" s="43"/>
      <c r="P443" s="46">
        <v>12.5</v>
      </c>
      <c r="Q443" s="47"/>
      <c r="R443" s="40"/>
      <c r="S443" s="42"/>
      <c r="T443" s="41"/>
      <c r="U443" s="41"/>
      <c r="V443" s="48" t="s">
        <v>453</v>
      </c>
      <c r="W443" s="43"/>
      <c r="X443" s="44">
        <v>46203</v>
      </c>
      <c r="Y443" s="41" t="s">
        <v>454</v>
      </c>
      <c r="Z443" s="41"/>
      <c r="AA443" s="41"/>
      <c r="AB443" s="41" t="s">
        <v>937</v>
      </c>
      <c r="AC443" s="49"/>
      <c r="AD443" s="49">
        <v>1212</v>
      </c>
      <c r="AE443" s="50"/>
      <c r="AF443" s="51"/>
      <c r="AG443" s="51"/>
      <c r="AH443" s="52"/>
      <c r="AI443" s="52"/>
      <c r="AJ443" s="53"/>
      <c r="AK443" s="52"/>
      <c r="AL443" s="43">
        <v>18</v>
      </c>
      <c r="AM443" s="168" t="s">
        <v>938</v>
      </c>
      <c r="AN443" s="36"/>
      <c r="AO443" s="36"/>
      <c r="AP443" s="37"/>
    </row>
    <row r="444" spans="1:42" s="38" customFormat="1" ht="18.75" customHeight="1" x14ac:dyDescent="0.25">
      <c r="A444" s="44">
        <v>46203</v>
      </c>
      <c r="B444" s="40">
        <f t="shared" si="14"/>
        <v>46203</v>
      </c>
      <c r="C444" s="41" t="s">
        <v>85</v>
      </c>
      <c r="D444" s="45" t="s">
        <v>86</v>
      </c>
      <c r="E444" s="45">
        <v>31838</v>
      </c>
      <c r="F444" s="45">
        <v>1</v>
      </c>
      <c r="G444" s="191">
        <v>72189833</v>
      </c>
      <c r="H444" s="54" t="s">
        <v>447</v>
      </c>
      <c r="I444" s="42"/>
      <c r="J444" s="43"/>
      <c r="K444" s="43">
        <f t="shared" si="15"/>
        <v>10</v>
      </c>
      <c r="L444" s="43"/>
      <c r="M444" s="43"/>
      <c r="N444" s="43"/>
      <c r="O444" s="43"/>
      <c r="P444" s="46">
        <v>10</v>
      </c>
      <c r="Q444" s="47"/>
      <c r="R444" s="40"/>
      <c r="S444" s="42"/>
      <c r="T444" s="41"/>
      <c r="U444" s="41"/>
      <c r="V444" s="48" t="s">
        <v>453</v>
      </c>
      <c r="W444" s="43"/>
      <c r="X444" s="44">
        <v>46203</v>
      </c>
      <c r="Y444" s="41" t="s">
        <v>454</v>
      </c>
      <c r="Z444" s="41"/>
      <c r="AA444" s="41"/>
      <c r="AB444" s="41" t="s">
        <v>937</v>
      </c>
      <c r="AC444" s="49"/>
      <c r="AD444" s="49">
        <v>1212</v>
      </c>
      <c r="AE444" s="50"/>
      <c r="AF444" s="51"/>
      <c r="AG444" s="51"/>
      <c r="AH444" s="52"/>
      <c r="AI444" s="52"/>
      <c r="AJ444" s="53"/>
      <c r="AK444" s="52"/>
      <c r="AL444" s="43">
        <v>18</v>
      </c>
      <c r="AM444" s="168" t="s">
        <v>938</v>
      </c>
      <c r="AN444" s="36"/>
      <c r="AO444" s="36"/>
      <c r="AP444" s="37"/>
    </row>
    <row r="445" spans="1:42" s="38" customFormat="1" ht="18.75" customHeight="1" x14ac:dyDescent="0.25">
      <c r="A445" s="44">
        <v>46203</v>
      </c>
      <c r="B445" s="40">
        <f t="shared" si="14"/>
        <v>46203</v>
      </c>
      <c r="C445" s="41" t="s">
        <v>85</v>
      </c>
      <c r="D445" s="45" t="s">
        <v>86</v>
      </c>
      <c r="E445" s="45">
        <v>31839</v>
      </c>
      <c r="F445" s="45">
        <v>1</v>
      </c>
      <c r="G445" s="191">
        <v>19806245</v>
      </c>
      <c r="H445" s="54" t="s">
        <v>280</v>
      </c>
      <c r="I445" s="42"/>
      <c r="J445" s="43"/>
      <c r="K445" s="43">
        <f t="shared" si="15"/>
        <v>10</v>
      </c>
      <c r="L445" s="43"/>
      <c r="M445" s="43"/>
      <c r="N445" s="43"/>
      <c r="O445" s="43"/>
      <c r="P445" s="46">
        <v>10</v>
      </c>
      <c r="Q445" s="47"/>
      <c r="R445" s="40"/>
      <c r="S445" s="42"/>
      <c r="T445" s="41"/>
      <c r="U445" s="41"/>
      <c r="V445" s="48" t="s">
        <v>453</v>
      </c>
      <c r="W445" s="43"/>
      <c r="X445" s="44">
        <v>46203</v>
      </c>
      <c r="Y445" s="41" t="s">
        <v>454</v>
      </c>
      <c r="Z445" s="41"/>
      <c r="AA445" s="41"/>
      <c r="AB445" s="41" t="s">
        <v>937</v>
      </c>
      <c r="AC445" s="49"/>
      <c r="AD445" s="49">
        <v>1212</v>
      </c>
      <c r="AE445" s="50"/>
      <c r="AF445" s="51"/>
      <c r="AG445" s="51"/>
      <c r="AH445" s="52"/>
      <c r="AI445" s="52"/>
      <c r="AJ445" s="53"/>
      <c r="AK445" s="52"/>
      <c r="AL445" s="43">
        <v>18</v>
      </c>
      <c r="AM445" s="168" t="s">
        <v>938</v>
      </c>
      <c r="AN445" s="36"/>
      <c r="AO445" s="36"/>
      <c r="AP445" s="37"/>
    </row>
    <row r="446" spans="1:42" s="38" customFormat="1" ht="18.75" customHeight="1" x14ac:dyDescent="0.25">
      <c r="A446" s="44">
        <v>46203</v>
      </c>
      <c r="B446" s="40">
        <f t="shared" si="14"/>
        <v>46203</v>
      </c>
      <c r="C446" s="41" t="s">
        <v>85</v>
      </c>
      <c r="D446" s="45" t="s">
        <v>86</v>
      </c>
      <c r="E446" s="45">
        <v>31840</v>
      </c>
      <c r="F446" s="45">
        <v>1</v>
      </c>
      <c r="G446" s="191">
        <v>20093202</v>
      </c>
      <c r="H446" s="54" t="s">
        <v>448</v>
      </c>
      <c r="I446" s="42"/>
      <c r="J446" s="43"/>
      <c r="K446" s="43">
        <f t="shared" si="15"/>
        <v>32.1</v>
      </c>
      <c r="L446" s="43"/>
      <c r="M446" s="43"/>
      <c r="N446" s="43"/>
      <c r="O446" s="43"/>
      <c r="P446" s="46">
        <v>32.1</v>
      </c>
      <c r="Q446" s="47"/>
      <c r="R446" s="40"/>
      <c r="S446" s="42"/>
      <c r="T446" s="41"/>
      <c r="U446" s="41"/>
      <c r="V446" s="48" t="s">
        <v>453</v>
      </c>
      <c r="W446" s="43"/>
      <c r="X446" s="44">
        <v>46203</v>
      </c>
      <c r="Y446" s="41" t="s">
        <v>454</v>
      </c>
      <c r="Z446" s="41"/>
      <c r="AA446" s="41"/>
      <c r="AB446" s="41" t="s">
        <v>937</v>
      </c>
      <c r="AC446" s="49"/>
      <c r="AD446" s="49">
        <v>1212</v>
      </c>
      <c r="AE446" s="50"/>
      <c r="AF446" s="51"/>
      <c r="AG446" s="51"/>
      <c r="AH446" s="52"/>
      <c r="AI446" s="52"/>
      <c r="AJ446" s="53"/>
      <c r="AK446" s="52"/>
      <c r="AL446" s="43">
        <v>18</v>
      </c>
      <c r="AM446" s="168" t="s">
        <v>938</v>
      </c>
      <c r="AN446" s="36"/>
      <c r="AO446" s="36"/>
      <c r="AP446" s="37"/>
    </row>
    <row r="447" spans="1:42" s="38" customFormat="1" ht="18.75" customHeight="1" x14ac:dyDescent="0.25">
      <c r="A447" s="44">
        <v>46203</v>
      </c>
      <c r="B447" s="40">
        <f t="shared" si="14"/>
        <v>46203</v>
      </c>
      <c r="C447" s="41" t="s">
        <v>85</v>
      </c>
      <c r="D447" s="45" t="s">
        <v>86</v>
      </c>
      <c r="E447" s="45">
        <v>31841</v>
      </c>
      <c r="F447" s="45">
        <v>1</v>
      </c>
      <c r="G447" s="191">
        <v>74440952</v>
      </c>
      <c r="H447" s="54" t="s">
        <v>449</v>
      </c>
      <c r="I447" s="42"/>
      <c r="J447" s="43"/>
      <c r="K447" s="43">
        <f t="shared" si="15"/>
        <v>10</v>
      </c>
      <c r="L447" s="43"/>
      <c r="M447" s="43"/>
      <c r="N447" s="43"/>
      <c r="O447" s="43"/>
      <c r="P447" s="46">
        <v>10</v>
      </c>
      <c r="Q447" s="47"/>
      <c r="R447" s="40"/>
      <c r="S447" s="42"/>
      <c r="T447" s="41"/>
      <c r="U447" s="41"/>
      <c r="V447" s="48" t="s">
        <v>453</v>
      </c>
      <c r="W447" s="43"/>
      <c r="X447" s="44">
        <v>46203</v>
      </c>
      <c r="Y447" s="41" t="s">
        <v>454</v>
      </c>
      <c r="Z447" s="41"/>
      <c r="AA447" s="41"/>
      <c r="AB447" s="41" t="s">
        <v>937</v>
      </c>
      <c r="AC447" s="49"/>
      <c r="AD447" s="49">
        <v>1212</v>
      </c>
      <c r="AE447" s="50"/>
      <c r="AF447" s="51"/>
      <c r="AG447" s="51"/>
      <c r="AH447" s="52"/>
      <c r="AI447" s="52"/>
      <c r="AJ447" s="53"/>
      <c r="AK447" s="52"/>
      <c r="AL447" s="43">
        <v>18</v>
      </c>
      <c r="AM447" s="168" t="s">
        <v>938</v>
      </c>
      <c r="AN447" s="36"/>
      <c r="AO447" s="36"/>
      <c r="AP447" s="37"/>
    </row>
    <row r="448" spans="1:42" s="38" customFormat="1" ht="18.75" customHeight="1" x14ac:dyDescent="0.25">
      <c r="A448" s="44">
        <v>46203</v>
      </c>
      <c r="B448" s="40">
        <f t="shared" si="14"/>
        <v>46203</v>
      </c>
      <c r="C448" s="41" t="s">
        <v>85</v>
      </c>
      <c r="D448" s="45" t="s">
        <v>86</v>
      </c>
      <c r="E448" s="45">
        <v>31842</v>
      </c>
      <c r="F448" s="45">
        <v>1</v>
      </c>
      <c r="G448" s="191">
        <v>70791744</v>
      </c>
      <c r="H448" s="54" t="s">
        <v>450</v>
      </c>
      <c r="I448" s="42"/>
      <c r="J448" s="43"/>
      <c r="K448" s="43">
        <f t="shared" si="15"/>
        <v>10</v>
      </c>
      <c r="L448" s="43"/>
      <c r="M448" s="43"/>
      <c r="N448" s="43"/>
      <c r="O448" s="43"/>
      <c r="P448" s="46">
        <v>10</v>
      </c>
      <c r="Q448" s="47"/>
      <c r="R448" s="40"/>
      <c r="S448" s="42"/>
      <c r="T448" s="41"/>
      <c r="U448" s="41"/>
      <c r="V448" s="48" t="s">
        <v>453</v>
      </c>
      <c r="W448" s="43"/>
      <c r="X448" s="44">
        <v>46203</v>
      </c>
      <c r="Y448" s="41" t="s">
        <v>454</v>
      </c>
      <c r="Z448" s="41"/>
      <c r="AA448" s="41"/>
      <c r="AB448" s="41" t="s">
        <v>937</v>
      </c>
      <c r="AC448" s="49"/>
      <c r="AD448" s="49">
        <v>1212</v>
      </c>
      <c r="AE448" s="50"/>
      <c r="AF448" s="51"/>
      <c r="AG448" s="51"/>
      <c r="AH448" s="52"/>
      <c r="AI448" s="52"/>
      <c r="AJ448" s="53"/>
      <c r="AK448" s="52"/>
      <c r="AL448" s="43">
        <v>18</v>
      </c>
      <c r="AM448" s="168" t="s">
        <v>938</v>
      </c>
      <c r="AN448" s="36"/>
      <c r="AO448" s="36"/>
      <c r="AP448" s="37"/>
    </row>
    <row r="449" spans="1:47" s="38" customFormat="1" ht="18.75" customHeight="1" x14ac:dyDescent="0.25">
      <c r="A449" s="44">
        <v>46203</v>
      </c>
      <c r="B449" s="40">
        <f t="shared" si="14"/>
        <v>46203</v>
      </c>
      <c r="C449" s="41" t="s">
        <v>85</v>
      </c>
      <c r="D449" s="45" t="s">
        <v>86</v>
      </c>
      <c r="E449" s="45">
        <v>31843</v>
      </c>
      <c r="F449" s="45">
        <v>1</v>
      </c>
      <c r="G449" s="191">
        <v>20047067</v>
      </c>
      <c r="H449" s="54" t="s">
        <v>451</v>
      </c>
      <c r="I449" s="42"/>
      <c r="J449" s="43"/>
      <c r="K449" s="43">
        <f t="shared" si="15"/>
        <v>33</v>
      </c>
      <c r="L449" s="43"/>
      <c r="M449" s="43"/>
      <c r="N449" s="43"/>
      <c r="O449" s="43"/>
      <c r="P449" s="46">
        <v>33</v>
      </c>
      <c r="Q449" s="47"/>
      <c r="R449" s="40"/>
      <c r="S449" s="42"/>
      <c r="T449" s="41"/>
      <c r="U449" s="41"/>
      <c r="V449" s="48" t="s">
        <v>453</v>
      </c>
      <c r="W449" s="43"/>
      <c r="X449" s="44">
        <v>46203</v>
      </c>
      <c r="Y449" s="41" t="s">
        <v>454</v>
      </c>
      <c r="Z449" s="41"/>
      <c r="AA449" s="41"/>
      <c r="AB449" s="41" t="s">
        <v>937</v>
      </c>
      <c r="AC449" s="49"/>
      <c r="AD449" s="49">
        <v>1212</v>
      </c>
      <c r="AE449" s="50"/>
      <c r="AF449" s="51"/>
      <c r="AG449" s="51"/>
      <c r="AH449" s="52"/>
      <c r="AI449" s="52"/>
      <c r="AJ449" s="53"/>
      <c r="AK449" s="52"/>
      <c r="AL449" s="43">
        <v>18</v>
      </c>
      <c r="AM449" s="168" t="s">
        <v>938</v>
      </c>
      <c r="AN449" s="36"/>
      <c r="AO449" s="36"/>
      <c r="AP449" s="37"/>
    </row>
    <row r="450" spans="1:47" s="38" customFormat="1" ht="18.75" customHeight="1" x14ac:dyDescent="0.25">
      <c r="A450" s="44">
        <v>46203</v>
      </c>
      <c r="B450" s="40">
        <f t="shared" si="14"/>
        <v>46203</v>
      </c>
      <c r="C450" s="41" t="s">
        <v>85</v>
      </c>
      <c r="D450" s="45" t="s">
        <v>86</v>
      </c>
      <c r="E450" s="45">
        <v>31844</v>
      </c>
      <c r="F450" s="45">
        <v>1</v>
      </c>
      <c r="G450" s="191">
        <v>47822380</v>
      </c>
      <c r="H450" s="54" t="s">
        <v>452</v>
      </c>
      <c r="I450" s="42"/>
      <c r="J450" s="43"/>
      <c r="K450" s="43">
        <f t="shared" si="15"/>
        <v>10</v>
      </c>
      <c r="L450" s="43"/>
      <c r="M450" s="43"/>
      <c r="N450" s="43"/>
      <c r="O450" s="43"/>
      <c r="P450" s="46">
        <v>10</v>
      </c>
      <c r="Q450" s="47"/>
      <c r="R450" s="40"/>
      <c r="S450" s="42"/>
      <c r="T450" s="41"/>
      <c r="U450" s="41"/>
      <c r="V450" s="48" t="s">
        <v>453</v>
      </c>
      <c r="W450" s="43"/>
      <c r="X450" s="44">
        <v>46203</v>
      </c>
      <c r="Y450" s="41" t="s">
        <v>454</v>
      </c>
      <c r="Z450" s="41"/>
      <c r="AA450" s="41"/>
      <c r="AB450" s="41" t="s">
        <v>937</v>
      </c>
      <c r="AC450" s="49"/>
      <c r="AD450" s="49">
        <v>1212</v>
      </c>
      <c r="AE450" s="50"/>
      <c r="AF450" s="51"/>
      <c r="AG450" s="51"/>
      <c r="AH450" s="52"/>
      <c r="AI450" s="52"/>
      <c r="AJ450" s="53"/>
      <c r="AK450" s="52"/>
      <c r="AL450" s="43">
        <v>18</v>
      </c>
      <c r="AM450" s="168" t="s">
        <v>938</v>
      </c>
      <c r="AN450" s="36"/>
      <c r="AO450" s="36"/>
      <c r="AP450" s="37"/>
    </row>
    <row r="451" spans="1:47" s="38" customFormat="1" ht="18.75" customHeight="1" x14ac:dyDescent="0.25">
      <c r="A451" s="44"/>
      <c r="B451" s="40">
        <f t="shared" si="14"/>
        <v>0</v>
      </c>
      <c r="C451" s="41" t="s">
        <v>85</v>
      </c>
      <c r="D451" s="45"/>
      <c r="E451" s="45"/>
      <c r="F451" s="45">
        <v>6</v>
      </c>
      <c r="G451" s="191"/>
      <c r="H451" s="54"/>
      <c r="I451" s="42"/>
      <c r="J451" s="43"/>
      <c r="K451" s="43">
        <f t="shared" si="15"/>
        <v>0</v>
      </c>
      <c r="L451" s="43"/>
      <c r="M451" s="43"/>
      <c r="N451" s="43"/>
      <c r="O451" s="43"/>
      <c r="P451" s="46"/>
      <c r="Q451" s="47"/>
      <c r="R451" s="40"/>
      <c r="S451" s="42"/>
      <c r="T451" s="41"/>
      <c r="U451" s="41"/>
      <c r="V451" s="48"/>
      <c r="W451" s="43"/>
      <c r="X451" s="41"/>
      <c r="Y451" s="41"/>
      <c r="Z451" s="41"/>
      <c r="AA451" s="41"/>
      <c r="AB451" s="41"/>
      <c r="AC451" s="49"/>
      <c r="AD451" s="49"/>
      <c r="AE451" s="50"/>
      <c r="AF451" s="51"/>
      <c r="AG451" s="51"/>
      <c r="AH451" s="52"/>
      <c r="AI451" s="52"/>
      <c r="AJ451" s="53"/>
      <c r="AK451" s="52"/>
      <c r="AL451" s="43"/>
      <c r="AM451" s="168"/>
      <c r="AN451" s="36"/>
      <c r="AO451" s="36"/>
      <c r="AP451" s="37"/>
    </row>
    <row r="452" spans="1:47" x14ac:dyDescent="0.25">
      <c r="A452" s="22"/>
      <c r="B452" s="22"/>
      <c r="C452" s="23"/>
      <c r="D452" s="23"/>
      <c r="E452" s="23"/>
      <c r="F452" s="23"/>
      <c r="G452" s="103" t="s">
        <v>84</v>
      </c>
      <c r="H452" s="104"/>
      <c r="I452" s="26"/>
      <c r="J452" s="29">
        <f>SUM(J5:J5)</f>
        <v>0</v>
      </c>
      <c r="K452" s="29">
        <f>SUM(K5:K451)</f>
        <v>18662.650000000012</v>
      </c>
      <c r="L452" s="29">
        <f t="shared" ref="K452:P452" si="16">SUM(L5:L451)</f>
        <v>0</v>
      </c>
      <c r="M452" s="29">
        <f t="shared" si="16"/>
        <v>0</v>
      </c>
      <c r="N452" s="29">
        <f t="shared" si="16"/>
        <v>0</v>
      </c>
      <c r="O452" s="29">
        <f t="shared" si="16"/>
        <v>0</v>
      </c>
      <c r="P452" s="29">
        <f t="shared" si="16"/>
        <v>18662.650000000012</v>
      </c>
      <c r="Q452" s="33"/>
      <c r="R452" s="24"/>
      <c r="S452" s="24"/>
      <c r="T452" s="23"/>
      <c r="U452" s="23"/>
      <c r="V452" s="48"/>
      <c r="W452" s="25"/>
      <c r="X452" s="22"/>
      <c r="Y452" s="41"/>
      <c r="Z452" s="23"/>
      <c r="AA452" s="23"/>
      <c r="AB452" s="41"/>
      <c r="AC452" s="49"/>
      <c r="AD452" s="49"/>
      <c r="AE452" s="7"/>
      <c r="AF452" s="7"/>
      <c r="AG452" s="7"/>
      <c r="AH452" s="7"/>
      <c r="AI452" s="7"/>
      <c r="AJ452" s="7"/>
      <c r="AK452" s="9"/>
      <c r="AL452" s="43"/>
      <c r="AM452" s="169"/>
      <c r="AN452" s="7"/>
      <c r="AO452" s="7"/>
      <c r="AP452" s="6"/>
      <c r="AQ452" s="7"/>
      <c r="AR452" s="8"/>
      <c r="AS452" s="7"/>
      <c r="AT452" s="7"/>
      <c r="AU452" s="8"/>
    </row>
    <row r="453" spans="1:47" ht="15" x14ac:dyDescent="0.25">
      <c r="A453" s="6"/>
      <c r="B453" s="6"/>
      <c r="C453" s="7"/>
      <c r="D453" s="7"/>
      <c r="E453">
        <v>31405</v>
      </c>
      <c r="F453" s="7"/>
      <c r="G453" s="7"/>
      <c r="H453" s="15"/>
      <c r="I453" s="8"/>
      <c r="J453" s="30"/>
      <c r="K453" s="30"/>
      <c r="L453" s="30"/>
      <c r="M453" s="30"/>
      <c r="N453" s="30"/>
      <c r="O453" s="30"/>
      <c r="P453" s="30"/>
      <c r="Q453" s="34"/>
      <c r="R453" s="8"/>
      <c r="S453" s="8"/>
      <c r="T453" s="7"/>
      <c r="U453" s="7"/>
      <c r="V453" s="7"/>
      <c r="W453" s="7"/>
      <c r="X453" s="7"/>
      <c r="Y453" s="7"/>
      <c r="Z453" s="7"/>
      <c r="AA453" s="7"/>
      <c r="AB453" s="7"/>
      <c r="AC453" s="7"/>
      <c r="AD453" s="7"/>
      <c r="AE453" s="7"/>
      <c r="AF453" s="7"/>
      <c r="AG453" s="7"/>
      <c r="AH453" s="7"/>
      <c r="AI453" s="7"/>
      <c r="AJ453" s="7"/>
      <c r="AK453" s="7"/>
      <c r="AL453" s="7"/>
      <c r="AM453" s="169"/>
      <c r="AN453" s="7"/>
      <c r="AO453" s="7"/>
      <c r="AP453" s="6"/>
      <c r="AQ453" s="7"/>
      <c r="AR453" s="8"/>
      <c r="AS453" s="7"/>
      <c r="AT453" s="7"/>
      <c r="AU453" s="8"/>
    </row>
    <row r="454" spans="1:47" ht="15" x14ac:dyDescent="0.25">
      <c r="A454" s="6"/>
      <c r="B454" s="6"/>
      <c r="C454" s="7"/>
      <c r="D454" s="7"/>
      <c r="E454">
        <v>31406</v>
      </c>
      <c r="F454" s="7"/>
      <c r="G454" s="7"/>
      <c r="H454" s="15"/>
      <c r="I454" s="8"/>
      <c r="J454" s="8"/>
      <c r="K454" s="8"/>
      <c r="L454" s="8"/>
      <c r="M454" s="8"/>
      <c r="N454" s="8"/>
      <c r="O454" s="8"/>
      <c r="P454" s="8"/>
      <c r="Q454" s="34"/>
      <c r="R454" s="8"/>
      <c r="S454" s="8"/>
      <c r="T454" s="7"/>
      <c r="U454" s="7"/>
      <c r="V454" s="7"/>
      <c r="W454" s="7"/>
      <c r="X454" s="7"/>
      <c r="Y454" s="7"/>
      <c r="Z454" s="7"/>
      <c r="AA454" s="7"/>
      <c r="AB454" s="7"/>
      <c r="AC454" s="7"/>
      <c r="AD454" s="7"/>
      <c r="AE454" s="7"/>
      <c r="AF454" s="7"/>
      <c r="AG454" s="7"/>
      <c r="AH454" s="7"/>
      <c r="AI454" s="7"/>
      <c r="AJ454" s="7"/>
      <c r="AK454" s="7"/>
      <c r="AL454" s="7"/>
      <c r="AM454" s="169"/>
      <c r="AN454" s="7"/>
      <c r="AO454" s="7"/>
      <c r="AP454" s="6"/>
      <c r="AQ454" s="7"/>
      <c r="AR454" s="8"/>
      <c r="AS454" s="7"/>
      <c r="AT454" s="7"/>
      <c r="AU454" s="8"/>
    </row>
    <row r="455" spans="1:47" ht="15" x14ac:dyDescent="0.25">
      <c r="A455" s="6"/>
      <c r="B455" s="6"/>
      <c r="C455" s="7"/>
      <c r="D455" s="7"/>
      <c r="E455">
        <v>31605</v>
      </c>
      <c r="F455" s="7"/>
      <c r="G455" s="7"/>
      <c r="H455" s="15"/>
      <c r="I455" s="8"/>
      <c r="J455" s="8"/>
      <c r="K455" s="8"/>
      <c r="L455" s="8"/>
      <c r="M455" s="8"/>
      <c r="N455" s="8"/>
      <c r="O455" s="8"/>
      <c r="P455" s="8"/>
      <c r="Q455" s="34"/>
      <c r="R455" s="8"/>
      <c r="S455" s="8"/>
      <c r="T455" s="7"/>
      <c r="U455" s="7"/>
      <c r="V455" s="7"/>
      <c r="W455" s="7"/>
      <c r="X455" s="7"/>
      <c r="Y455" s="7"/>
      <c r="Z455" s="7"/>
      <c r="AA455" s="7"/>
      <c r="AB455" s="7"/>
      <c r="AC455" s="7"/>
      <c r="AD455" s="7"/>
      <c r="AE455" s="7"/>
      <c r="AF455" s="7"/>
      <c r="AG455" s="7"/>
      <c r="AH455" s="7"/>
      <c r="AI455" s="7"/>
      <c r="AJ455" s="7"/>
      <c r="AK455" s="7"/>
      <c r="AL455" s="7"/>
      <c r="AM455" s="169"/>
      <c r="AN455" s="7"/>
      <c r="AO455" s="7"/>
      <c r="AP455" s="6"/>
      <c r="AQ455" s="7"/>
      <c r="AR455" s="8"/>
      <c r="AS455" s="7"/>
      <c r="AT455" s="7"/>
      <c r="AU455" s="8"/>
    </row>
    <row r="456" spans="1:47" ht="15" x14ac:dyDescent="0.25">
      <c r="A456" s="6"/>
      <c r="B456" s="6"/>
      <c r="C456" s="7"/>
      <c r="D456" s="7"/>
      <c r="E456">
        <v>31505</v>
      </c>
      <c r="F456" s="7"/>
      <c r="G456" s="7"/>
      <c r="H456" s="15"/>
      <c r="I456" s="8"/>
      <c r="J456" s="8"/>
      <c r="K456" s="8"/>
      <c r="L456" s="8"/>
      <c r="M456" s="8"/>
      <c r="N456" s="8"/>
      <c r="O456" s="8"/>
      <c r="P456" s="8"/>
      <c r="Q456" s="34"/>
      <c r="R456" s="8"/>
      <c r="S456" s="8"/>
      <c r="T456" s="7"/>
      <c r="U456" s="7"/>
      <c r="V456" s="7"/>
      <c r="W456" s="7"/>
      <c r="X456" s="7"/>
      <c r="Y456" s="7"/>
      <c r="Z456" s="7"/>
      <c r="AA456" s="7"/>
      <c r="AB456" s="7"/>
      <c r="AC456" s="7"/>
      <c r="AD456" s="7"/>
      <c r="AE456" s="7"/>
      <c r="AF456" s="7"/>
      <c r="AG456" s="7"/>
      <c r="AH456" s="7"/>
      <c r="AI456" s="7"/>
      <c r="AJ456" s="7"/>
      <c r="AK456" s="7"/>
      <c r="AL456" s="7"/>
      <c r="AM456" s="169"/>
      <c r="AN456" s="7"/>
      <c r="AO456" s="7"/>
      <c r="AP456" s="6"/>
      <c r="AQ456" s="7"/>
      <c r="AR456" s="8"/>
      <c r="AS456" s="7"/>
      <c r="AT456" s="7"/>
      <c r="AU456" s="8"/>
    </row>
    <row r="457" spans="1:47" ht="15" x14ac:dyDescent="0.25">
      <c r="A457" s="6"/>
      <c r="B457" s="6"/>
      <c r="C457" s="7"/>
      <c r="D457" s="7"/>
      <c r="E457">
        <v>31606</v>
      </c>
      <c r="F457" s="7"/>
      <c r="G457" s="7"/>
      <c r="H457" s="15"/>
      <c r="I457" s="8"/>
      <c r="J457" s="8"/>
      <c r="K457" s="8"/>
      <c r="L457" s="8"/>
      <c r="M457" s="8"/>
      <c r="N457" s="8"/>
      <c r="O457" s="8"/>
      <c r="P457" s="8"/>
      <c r="Q457" s="34"/>
      <c r="R457" s="8"/>
      <c r="S457" s="8"/>
      <c r="T457" s="7"/>
      <c r="U457" s="7"/>
      <c r="V457" s="7"/>
      <c r="W457" s="7"/>
      <c r="X457" s="7"/>
      <c r="Y457" s="7"/>
      <c r="Z457" s="7"/>
      <c r="AA457" s="7"/>
      <c r="AB457" s="7"/>
      <c r="AC457" s="7"/>
      <c r="AD457" s="7"/>
      <c r="AE457" s="7"/>
      <c r="AF457" s="7"/>
      <c r="AG457" s="7"/>
      <c r="AH457" s="7"/>
      <c r="AI457" s="7"/>
      <c r="AJ457" s="7"/>
      <c r="AK457" s="7"/>
      <c r="AL457" s="7"/>
      <c r="AM457" s="169"/>
      <c r="AN457" s="7"/>
      <c r="AO457" s="7"/>
      <c r="AP457" s="6"/>
      <c r="AQ457" s="7"/>
      <c r="AR457" s="8"/>
      <c r="AS457" s="7"/>
      <c r="AT457" s="7"/>
      <c r="AU457" s="8"/>
    </row>
    <row r="458" spans="1:47" ht="15" x14ac:dyDescent="0.25">
      <c r="A458" s="6"/>
      <c r="B458" s="6"/>
      <c r="C458" s="7"/>
      <c r="D458" s="7"/>
      <c r="E458">
        <v>31509</v>
      </c>
      <c r="F458" s="7"/>
      <c r="G458" s="7"/>
      <c r="H458" s="15"/>
      <c r="I458" s="8"/>
      <c r="J458" s="8"/>
      <c r="K458" s="8"/>
      <c r="L458" s="8"/>
      <c r="M458" s="8"/>
      <c r="N458" s="8"/>
      <c r="O458" s="8"/>
      <c r="P458" s="8"/>
      <c r="Q458" s="34"/>
      <c r="R458" s="8"/>
      <c r="S458" s="8"/>
      <c r="T458" s="7"/>
      <c r="U458" s="7"/>
      <c r="V458" s="7"/>
      <c r="W458" s="7"/>
      <c r="X458" s="7"/>
      <c r="Y458" s="7"/>
      <c r="Z458" s="7"/>
      <c r="AA458" s="7"/>
      <c r="AB458" s="7"/>
      <c r="AC458" s="7"/>
      <c r="AD458" s="7"/>
      <c r="AE458" s="7"/>
      <c r="AF458" s="7"/>
      <c r="AG458" s="7"/>
      <c r="AH458" s="7"/>
      <c r="AI458" s="7"/>
      <c r="AJ458" s="7"/>
      <c r="AK458" s="7"/>
      <c r="AL458" s="7"/>
      <c r="AM458" s="169"/>
      <c r="AN458" s="7"/>
      <c r="AO458" s="7"/>
      <c r="AP458" s="6"/>
      <c r="AQ458" s="7"/>
      <c r="AR458" s="8"/>
      <c r="AS458" s="7"/>
      <c r="AT458" s="7"/>
      <c r="AU458" s="8"/>
    </row>
    <row r="459" spans="1:47" ht="15" x14ac:dyDescent="0.25">
      <c r="A459" s="6"/>
      <c r="B459" s="6"/>
      <c r="C459" s="7"/>
      <c r="D459" s="7"/>
      <c r="E459">
        <v>31805</v>
      </c>
      <c r="F459" s="7"/>
      <c r="G459" s="7"/>
      <c r="H459" s="15"/>
      <c r="I459" s="8"/>
      <c r="J459" s="8"/>
      <c r="K459" s="8"/>
      <c r="L459" s="8"/>
      <c r="M459" s="8"/>
      <c r="N459" s="8"/>
      <c r="O459" s="8"/>
      <c r="P459" s="8"/>
      <c r="Q459" s="34"/>
      <c r="R459" s="8"/>
      <c r="S459" s="8"/>
      <c r="T459" s="7"/>
      <c r="U459" s="7"/>
      <c r="V459" s="7"/>
      <c r="W459" s="7"/>
      <c r="X459" s="7"/>
      <c r="Y459" s="7"/>
      <c r="Z459" s="7"/>
      <c r="AA459" s="7"/>
      <c r="AB459" s="7"/>
      <c r="AC459" s="7"/>
      <c r="AD459" s="7"/>
      <c r="AE459" s="7"/>
      <c r="AF459" s="7"/>
      <c r="AG459" s="7"/>
      <c r="AH459" s="7"/>
      <c r="AI459" s="7"/>
      <c r="AJ459" s="7"/>
      <c r="AK459" s="7"/>
      <c r="AL459" s="7"/>
      <c r="AM459" s="169"/>
      <c r="AN459" s="7"/>
      <c r="AO459" s="7"/>
      <c r="AP459" s="6"/>
      <c r="AQ459" s="7"/>
      <c r="AR459" s="8"/>
      <c r="AS459" s="7"/>
      <c r="AT459" s="7"/>
      <c r="AU459" s="8"/>
    </row>
    <row r="460" spans="1:47" ht="15" x14ac:dyDescent="0.25">
      <c r="A460" s="6"/>
      <c r="B460" s="6"/>
      <c r="C460" s="7"/>
      <c r="D460" s="7"/>
      <c r="E460">
        <v>31607</v>
      </c>
      <c r="F460" s="7"/>
      <c r="G460" s="7"/>
      <c r="H460" s="15"/>
      <c r="I460" s="8"/>
      <c r="J460" s="8"/>
      <c r="K460" s="8"/>
      <c r="L460" s="8"/>
      <c r="M460" s="8"/>
      <c r="N460" s="8"/>
      <c r="O460" s="8"/>
      <c r="P460" s="8"/>
      <c r="Q460" s="34"/>
      <c r="R460" s="8"/>
      <c r="S460" s="8"/>
      <c r="T460" s="7"/>
      <c r="U460" s="7"/>
      <c r="V460" s="7"/>
      <c r="W460" s="7"/>
      <c r="X460" s="7"/>
      <c r="Y460" s="7"/>
      <c r="Z460" s="7"/>
      <c r="AA460" s="7"/>
      <c r="AB460" s="7"/>
      <c r="AC460" s="7"/>
      <c r="AD460" s="7"/>
      <c r="AE460" s="7"/>
      <c r="AF460" s="7"/>
      <c r="AG460" s="7"/>
      <c r="AH460" s="7"/>
      <c r="AI460" s="7"/>
      <c r="AJ460" s="7"/>
      <c r="AK460" s="7"/>
      <c r="AL460" s="7"/>
      <c r="AM460" s="169"/>
      <c r="AN460" s="7"/>
      <c r="AO460" s="7"/>
      <c r="AP460" s="6"/>
      <c r="AQ460" s="7"/>
      <c r="AR460" s="8"/>
      <c r="AS460" s="7"/>
      <c r="AT460" s="7"/>
      <c r="AU460" s="8"/>
    </row>
    <row r="461" spans="1:47" ht="15" x14ac:dyDescent="0.25">
      <c r="A461" s="6"/>
      <c r="B461" s="6"/>
      <c r="C461" s="7"/>
      <c r="D461" s="7"/>
      <c r="E461">
        <v>31407</v>
      </c>
      <c r="F461" s="7"/>
      <c r="G461" s="7"/>
      <c r="H461" s="15"/>
      <c r="I461" s="8"/>
      <c r="J461" s="8"/>
      <c r="K461" s="8"/>
      <c r="L461" s="8"/>
      <c r="M461" s="8"/>
      <c r="N461" s="8"/>
      <c r="O461" s="8"/>
      <c r="P461" s="8"/>
      <c r="Q461" s="34"/>
      <c r="R461" s="8"/>
      <c r="S461" s="8"/>
      <c r="T461" s="7"/>
      <c r="U461" s="7"/>
      <c r="V461" s="7"/>
      <c r="W461" s="7"/>
      <c r="X461" s="7"/>
      <c r="Y461" s="7"/>
      <c r="Z461" s="7"/>
      <c r="AA461" s="7"/>
      <c r="AB461" s="7"/>
      <c r="AC461" s="7"/>
      <c r="AD461" s="7"/>
      <c r="AE461" s="7"/>
      <c r="AF461" s="7"/>
      <c r="AG461" s="7"/>
      <c r="AH461" s="7"/>
      <c r="AI461" s="7"/>
      <c r="AJ461" s="7"/>
      <c r="AK461" s="7"/>
      <c r="AL461" s="7"/>
      <c r="AM461" s="169"/>
      <c r="AN461" s="7"/>
      <c r="AO461" s="7"/>
      <c r="AP461" s="6"/>
      <c r="AQ461" s="7"/>
      <c r="AR461" s="8"/>
      <c r="AS461" s="7"/>
      <c r="AT461" s="7"/>
      <c r="AU461" s="8"/>
    </row>
    <row r="462" spans="1:47" ht="15" x14ac:dyDescent="0.25">
      <c r="A462" s="6"/>
      <c r="B462" s="6"/>
      <c r="C462" s="7"/>
      <c r="D462" s="7"/>
      <c r="E462">
        <v>31408</v>
      </c>
      <c r="F462" s="7"/>
      <c r="G462" s="7"/>
      <c r="H462" s="15"/>
      <c r="I462" s="8"/>
      <c r="J462" s="8"/>
      <c r="K462" s="8"/>
      <c r="L462" s="8"/>
      <c r="M462" s="8"/>
      <c r="N462" s="8"/>
      <c r="O462" s="8"/>
      <c r="P462" s="8"/>
      <c r="Q462" s="34"/>
      <c r="R462" s="8"/>
      <c r="S462" s="8"/>
      <c r="T462" s="7"/>
      <c r="U462" s="7"/>
      <c r="V462" s="7"/>
      <c r="W462" s="7"/>
      <c r="X462" s="7"/>
      <c r="Y462" s="7"/>
      <c r="Z462" s="7"/>
      <c r="AA462" s="7"/>
      <c r="AB462" s="7"/>
      <c r="AC462" s="7"/>
      <c r="AD462" s="7"/>
      <c r="AE462" s="7"/>
      <c r="AF462" s="7"/>
      <c r="AG462" s="7"/>
      <c r="AH462" s="7"/>
      <c r="AI462" s="7"/>
      <c r="AJ462" s="7"/>
      <c r="AK462" s="7"/>
      <c r="AL462" s="7"/>
      <c r="AM462" s="169"/>
      <c r="AN462" s="7"/>
      <c r="AO462" s="7"/>
      <c r="AP462" s="6"/>
      <c r="AQ462" s="7"/>
      <c r="AR462" s="8"/>
      <c r="AS462" s="7"/>
      <c r="AT462" s="7"/>
      <c r="AU462" s="8"/>
    </row>
    <row r="463" spans="1:47" ht="15" x14ac:dyDescent="0.25">
      <c r="A463" s="6"/>
      <c r="B463" s="6"/>
      <c r="C463" s="7"/>
      <c r="D463" s="7"/>
      <c r="E463">
        <v>31705</v>
      </c>
      <c r="F463" s="7"/>
      <c r="G463" s="7"/>
      <c r="H463" s="15"/>
      <c r="I463" s="8"/>
      <c r="J463" s="8"/>
      <c r="K463" s="8"/>
      <c r="L463" s="8"/>
      <c r="M463" s="8"/>
      <c r="N463" s="8"/>
      <c r="O463" s="8"/>
      <c r="P463" s="8"/>
      <c r="Q463" s="34"/>
      <c r="R463" s="8"/>
      <c r="S463" s="8"/>
      <c r="T463" s="7"/>
      <c r="U463" s="7"/>
      <c r="V463" s="7"/>
      <c r="W463" s="7"/>
      <c r="X463" s="7"/>
      <c r="Y463" s="7"/>
      <c r="Z463" s="7"/>
      <c r="AA463" s="7"/>
      <c r="AB463" s="7"/>
      <c r="AC463" s="7"/>
      <c r="AD463" s="7"/>
      <c r="AE463" s="7"/>
      <c r="AF463" s="7"/>
      <c r="AG463" s="7"/>
      <c r="AH463" s="7"/>
      <c r="AI463" s="7"/>
      <c r="AJ463" s="7"/>
      <c r="AK463" s="7"/>
      <c r="AL463" s="7"/>
      <c r="AM463" s="169"/>
      <c r="AN463" s="7"/>
      <c r="AO463" s="7"/>
      <c r="AP463" s="6"/>
      <c r="AQ463" s="7"/>
      <c r="AR463" s="8"/>
      <c r="AS463" s="7"/>
      <c r="AT463" s="7"/>
      <c r="AU463" s="8"/>
    </row>
    <row r="464" spans="1:47" ht="15" x14ac:dyDescent="0.25">
      <c r="A464" s="6"/>
      <c r="B464" s="6"/>
      <c r="C464" s="7"/>
      <c r="D464" s="7"/>
      <c r="E464">
        <v>31811</v>
      </c>
      <c r="F464" s="7"/>
      <c r="G464" s="7"/>
      <c r="H464" s="15"/>
      <c r="I464" s="8"/>
      <c r="J464" s="8"/>
      <c r="K464" s="8"/>
      <c r="L464" s="8"/>
      <c r="M464" s="8"/>
      <c r="N464" s="8"/>
      <c r="O464" s="8"/>
      <c r="P464" s="8"/>
      <c r="Q464" s="34"/>
      <c r="R464" s="8"/>
      <c r="S464" s="8"/>
      <c r="T464" s="7"/>
      <c r="U464" s="7"/>
      <c r="V464" s="7"/>
      <c r="W464" s="7"/>
      <c r="X464" s="7"/>
      <c r="Y464" s="7"/>
      <c r="Z464" s="7"/>
      <c r="AA464" s="7"/>
      <c r="AB464" s="7"/>
      <c r="AC464" s="7"/>
      <c r="AD464" s="7"/>
      <c r="AE464" s="7"/>
      <c r="AF464" s="7"/>
      <c r="AG464" s="7"/>
      <c r="AH464" s="7"/>
      <c r="AI464" s="7"/>
      <c r="AJ464" s="7"/>
      <c r="AK464" s="7"/>
      <c r="AL464" s="7"/>
      <c r="AM464" s="169"/>
      <c r="AN464" s="7"/>
      <c r="AO464" s="7"/>
      <c r="AP464" s="6"/>
      <c r="AQ464" s="7"/>
      <c r="AR464" s="8"/>
      <c r="AS464" s="7"/>
      <c r="AT464" s="7"/>
      <c r="AU464" s="8"/>
    </row>
    <row r="465" spans="1:47" ht="15" x14ac:dyDescent="0.25">
      <c r="A465" s="6"/>
      <c r="B465" s="6"/>
      <c r="C465" s="7"/>
      <c r="D465" s="7"/>
      <c r="E465">
        <v>31409</v>
      </c>
      <c r="F465" s="7"/>
      <c r="G465" s="7"/>
      <c r="H465" s="15"/>
      <c r="I465" s="8"/>
      <c r="J465" s="8"/>
      <c r="K465" s="8"/>
      <c r="L465" s="8"/>
      <c r="M465" s="8"/>
      <c r="N465" s="8"/>
      <c r="O465" s="8"/>
      <c r="P465" s="8"/>
      <c r="Q465" s="34"/>
      <c r="R465" s="8"/>
      <c r="S465" s="8"/>
      <c r="T465" s="7"/>
      <c r="U465" s="7"/>
      <c r="V465" s="7"/>
      <c r="W465" s="7"/>
      <c r="X465" s="7"/>
      <c r="Y465" s="7"/>
      <c r="Z465" s="7"/>
      <c r="AA465" s="7"/>
      <c r="AB465" s="7"/>
      <c r="AC465" s="7"/>
      <c r="AD465" s="7"/>
      <c r="AE465" s="7"/>
      <c r="AF465" s="7"/>
      <c r="AG465" s="7"/>
      <c r="AH465" s="7"/>
      <c r="AI465" s="7"/>
      <c r="AJ465" s="7"/>
      <c r="AK465" s="7"/>
      <c r="AL465" s="7"/>
      <c r="AM465" s="169"/>
      <c r="AN465" s="7"/>
      <c r="AO465" s="7"/>
      <c r="AP465" s="6"/>
      <c r="AQ465" s="7"/>
      <c r="AR465" s="8"/>
      <c r="AS465" s="7"/>
      <c r="AT465" s="7"/>
      <c r="AU465" s="8"/>
    </row>
    <row r="466" spans="1:47" ht="15" x14ac:dyDescent="0.25">
      <c r="A466" s="6"/>
      <c r="B466" s="6"/>
      <c r="C466" s="7"/>
      <c r="D466" s="7"/>
      <c r="E466">
        <v>31510</v>
      </c>
      <c r="F466" s="7"/>
      <c r="G466" s="7"/>
      <c r="H466" s="15"/>
      <c r="I466" s="8"/>
      <c r="J466" s="8"/>
      <c r="K466" s="8"/>
      <c r="L466" s="8"/>
      <c r="M466" s="8"/>
      <c r="N466" s="8"/>
      <c r="O466" s="8"/>
      <c r="P466" s="8"/>
      <c r="Q466" s="34"/>
      <c r="R466" s="8"/>
      <c r="S466" s="8"/>
      <c r="T466" s="7"/>
      <c r="U466" s="7"/>
      <c r="V466" s="7"/>
      <c r="W466" s="7"/>
      <c r="X466" s="7"/>
      <c r="Y466" s="7"/>
      <c r="Z466" s="7"/>
      <c r="AA466" s="7"/>
      <c r="AB466" s="7"/>
      <c r="AC466" s="7"/>
      <c r="AD466" s="7"/>
      <c r="AE466" s="7"/>
      <c r="AF466" s="7"/>
      <c r="AG466" s="7"/>
      <c r="AH466" s="7"/>
      <c r="AI466" s="7"/>
      <c r="AJ466" s="7"/>
      <c r="AK466" s="7"/>
      <c r="AL466" s="7"/>
      <c r="AM466" s="169"/>
      <c r="AN466" s="7"/>
      <c r="AO466" s="7"/>
      <c r="AP466" s="6"/>
      <c r="AQ466" s="7"/>
      <c r="AR466" s="8"/>
      <c r="AS466" s="7"/>
      <c r="AT466" s="7"/>
      <c r="AU466" s="8"/>
    </row>
    <row r="467" spans="1:47" ht="15" x14ac:dyDescent="0.25">
      <c r="A467" s="6"/>
      <c r="B467" s="6"/>
      <c r="C467" s="7"/>
      <c r="D467" s="7"/>
      <c r="E467">
        <v>31812</v>
      </c>
      <c r="F467" s="7"/>
      <c r="G467" s="7"/>
      <c r="H467" s="15"/>
      <c r="I467" s="8"/>
      <c r="J467" s="8"/>
      <c r="K467" s="8"/>
      <c r="L467" s="8"/>
      <c r="M467" s="8"/>
      <c r="N467" s="8"/>
      <c r="O467" s="8"/>
      <c r="P467" s="8"/>
      <c r="Q467" s="34"/>
      <c r="R467" s="8"/>
      <c r="S467" s="8"/>
      <c r="T467" s="7"/>
      <c r="U467" s="7"/>
      <c r="V467" s="7"/>
      <c r="W467" s="7"/>
      <c r="X467" s="7"/>
      <c r="Y467" s="7"/>
      <c r="Z467" s="7"/>
      <c r="AA467" s="7"/>
      <c r="AB467" s="7"/>
      <c r="AC467" s="7"/>
      <c r="AD467" s="7"/>
      <c r="AE467" s="7"/>
      <c r="AF467" s="7"/>
      <c r="AG467" s="7"/>
      <c r="AH467" s="7"/>
      <c r="AI467" s="7"/>
      <c r="AJ467" s="7"/>
      <c r="AK467" s="7"/>
      <c r="AL467" s="7"/>
      <c r="AM467" s="169"/>
      <c r="AN467" s="7"/>
      <c r="AO467" s="7"/>
      <c r="AP467" s="6"/>
      <c r="AQ467" s="7"/>
      <c r="AR467" s="8"/>
      <c r="AS467" s="7"/>
      <c r="AT467" s="7"/>
      <c r="AU467" s="8"/>
    </row>
    <row r="468" spans="1:47" ht="15" x14ac:dyDescent="0.25">
      <c r="A468" s="6"/>
      <c r="B468" s="6"/>
      <c r="C468" s="7"/>
      <c r="D468" s="7"/>
      <c r="E468">
        <v>31608</v>
      </c>
      <c r="F468" s="7"/>
      <c r="G468" s="7"/>
      <c r="H468" s="15"/>
      <c r="I468" s="8"/>
      <c r="J468" s="8"/>
      <c r="K468" s="8"/>
      <c r="L468" s="8"/>
      <c r="M468" s="8"/>
      <c r="N468" s="8"/>
      <c r="O468" s="8"/>
      <c r="P468" s="8"/>
      <c r="Q468" s="34"/>
      <c r="R468" s="8"/>
      <c r="S468" s="8"/>
      <c r="T468" s="7"/>
      <c r="U468" s="7"/>
      <c r="V468" s="7"/>
      <c r="W468" s="7"/>
      <c r="X468" s="7"/>
      <c r="Y468" s="7"/>
      <c r="Z468" s="7"/>
      <c r="AA468" s="7"/>
      <c r="AB468" s="7"/>
      <c r="AC468" s="7"/>
      <c r="AD468" s="7"/>
      <c r="AE468" s="7"/>
      <c r="AF468" s="7"/>
      <c r="AG468" s="7"/>
      <c r="AH468" s="7"/>
      <c r="AI468" s="7"/>
      <c r="AJ468" s="7"/>
      <c r="AK468" s="7"/>
      <c r="AL468" s="7"/>
      <c r="AM468" s="169"/>
      <c r="AN468" s="7"/>
      <c r="AO468" s="7"/>
      <c r="AP468" s="6"/>
      <c r="AQ468" s="7"/>
      <c r="AR468" s="8"/>
      <c r="AS468" s="7"/>
      <c r="AT468" s="7"/>
      <c r="AU468" s="8"/>
    </row>
    <row r="469" spans="1:47" ht="15" x14ac:dyDescent="0.25">
      <c r="A469" s="6"/>
      <c r="B469" s="6"/>
      <c r="C469" s="7"/>
      <c r="D469" s="7"/>
      <c r="E469">
        <v>31506</v>
      </c>
      <c r="F469" s="7"/>
      <c r="G469" s="7"/>
      <c r="H469" s="15"/>
      <c r="I469" s="8"/>
      <c r="J469" s="8"/>
      <c r="K469" s="8"/>
      <c r="L469" s="8"/>
      <c r="M469" s="8"/>
      <c r="N469" s="8"/>
      <c r="O469" s="8"/>
      <c r="P469" s="8"/>
      <c r="Q469" s="34"/>
      <c r="R469" s="8"/>
      <c r="S469" s="8"/>
      <c r="T469" s="7"/>
      <c r="U469" s="7"/>
      <c r="V469" s="7"/>
      <c r="W469" s="7"/>
      <c r="X469" s="7"/>
      <c r="Y469" s="7"/>
      <c r="Z469" s="7"/>
      <c r="AA469" s="7"/>
      <c r="AB469" s="7"/>
      <c r="AC469" s="7"/>
      <c r="AD469" s="7"/>
      <c r="AE469" s="7"/>
      <c r="AF469" s="7"/>
      <c r="AG469" s="7"/>
      <c r="AH469" s="7"/>
      <c r="AI469" s="7"/>
      <c r="AJ469" s="7"/>
      <c r="AK469" s="7"/>
      <c r="AL469" s="7"/>
      <c r="AM469" s="169"/>
      <c r="AN469" s="7"/>
      <c r="AO469" s="7"/>
      <c r="AP469" s="6"/>
      <c r="AQ469" s="7"/>
      <c r="AR469" s="8"/>
      <c r="AS469" s="7"/>
      <c r="AT469" s="7"/>
      <c r="AU469" s="8"/>
    </row>
    <row r="470" spans="1:47" ht="15" x14ac:dyDescent="0.25">
      <c r="A470" s="6"/>
      <c r="B470" s="6"/>
      <c r="C470" s="7"/>
      <c r="D470" s="7"/>
      <c r="E470">
        <v>31410</v>
      </c>
      <c r="F470" s="7"/>
      <c r="G470" s="7"/>
      <c r="H470" s="15"/>
      <c r="I470" s="8"/>
      <c r="J470" s="8"/>
      <c r="K470" s="8"/>
      <c r="L470" s="8"/>
      <c r="M470" s="8"/>
      <c r="N470" s="8"/>
      <c r="O470" s="8"/>
      <c r="P470" s="8"/>
      <c r="Q470" s="34"/>
      <c r="R470" s="8"/>
      <c r="S470" s="8"/>
      <c r="T470" s="7"/>
      <c r="U470" s="7"/>
      <c r="V470" s="7"/>
      <c r="W470" s="7"/>
      <c r="X470" s="7"/>
      <c r="Y470" s="7"/>
      <c r="Z470" s="7"/>
      <c r="AA470" s="7"/>
      <c r="AB470" s="7"/>
      <c r="AC470" s="7"/>
      <c r="AD470" s="7"/>
      <c r="AE470" s="7"/>
      <c r="AF470" s="7"/>
      <c r="AG470" s="7"/>
      <c r="AH470" s="7"/>
      <c r="AI470" s="7"/>
      <c r="AJ470" s="7"/>
      <c r="AK470" s="7"/>
      <c r="AL470" s="7"/>
      <c r="AM470" s="169"/>
      <c r="AN470" s="7"/>
      <c r="AO470" s="7"/>
      <c r="AP470" s="6"/>
      <c r="AQ470" s="7"/>
      <c r="AR470" s="8"/>
      <c r="AS470" s="7"/>
      <c r="AT470" s="7"/>
      <c r="AU470" s="8"/>
    </row>
    <row r="471" spans="1:47" ht="15" x14ac:dyDescent="0.25">
      <c r="A471" s="6"/>
      <c r="B471" s="6"/>
      <c r="C471" s="7"/>
      <c r="D471" s="7"/>
      <c r="E471">
        <v>31813</v>
      </c>
      <c r="F471" s="7"/>
      <c r="G471" s="7"/>
      <c r="H471" s="15"/>
      <c r="I471" s="8"/>
      <c r="J471" s="8"/>
      <c r="K471" s="8"/>
      <c r="L471" s="8"/>
      <c r="M471" s="8"/>
      <c r="N471" s="8"/>
      <c r="O471" s="8"/>
      <c r="P471" s="8"/>
      <c r="Q471" s="34"/>
      <c r="R471" s="8"/>
      <c r="S471" s="8"/>
      <c r="T471" s="7"/>
      <c r="U471" s="7"/>
      <c r="V471" s="7"/>
      <c r="W471" s="7"/>
      <c r="X471" s="7"/>
      <c r="Y471" s="7"/>
      <c r="Z471" s="7"/>
      <c r="AA471" s="7"/>
      <c r="AB471" s="7"/>
      <c r="AC471" s="7"/>
      <c r="AD471" s="7"/>
      <c r="AE471" s="7"/>
      <c r="AF471" s="7"/>
      <c r="AG471" s="7"/>
      <c r="AH471" s="7"/>
      <c r="AI471" s="7"/>
      <c r="AJ471" s="7"/>
      <c r="AK471" s="7"/>
      <c r="AL471" s="7"/>
      <c r="AM471" s="169"/>
      <c r="AN471" s="7"/>
      <c r="AO471" s="7"/>
      <c r="AP471" s="6"/>
      <c r="AQ471" s="7"/>
      <c r="AR471" s="8"/>
      <c r="AS471" s="7"/>
      <c r="AT471" s="7"/>
      <c r="AU471" s="8"/>
    </row>
    <row r="472" spans="1:47" ht="15" x14ac:dyDescent="0.25">
      <c r="A472" s="6"/>
      <c r="B472" s="6"/>
      <c r="C472" s="7"/>
      <c r="D472" s="7"/>
      <c r="E472">
        <v>31411</v>
      </c>
      <c r="F472" s="7"/>
      <c r="G472" s="7"/>
      <c r="H472" s="15"/>
      <c r="I472" s="8"/>
      <c r="J472" s="8"/>
      <c r="K472" s="8"/>
      <c r="L472" s="8"/>
      <c r="M472" s="8"/>
      <c r="N472" s="8"/>
      <c r="O472" s="8"/>
      <c r="P472" s="8"/>
      <c r="Q472" s="34"/>
      <c r="R472" s="8"/>
      <c r="S472" s="8"/>
      <c r="T472" s="7"/>
      <c r="U472" s="7"/>
      <c r="V472" s="7"/>
      <c r="W472" s="7"/>
      <c r="X472" s="7"/>
      <c r="Y472" s="7"/>
      <c r="Z472" s="7"/>
      <c r="AA472" s="7"/>
      <c r="AB472" s="7"/>
      <c r="AC472" s="7"/>
      <c r="AD472" s="7"/>
      <c r="AE472" s="7"/>
      <c r="AF472" s="7"/>
      <c r="AG472" s="7"/>
      <c r="AH472" s="7"/>
      <c r="AI472" s="7"/>
      <c r="AJ472" s="7"/>
      <c r="AK472" s="7"/>
      <c r="AL472" s="7"/>
      <c r="AM472" s="169"/>
      <c r="AN472" s="7"/>
      <c r="AO472" s="7"/>
      <c r="AP472" s="6"/>
      <c r="AQ472" s="7"/>
      <c r="AR472" s="8"/>
      <c r="AS472" s="7"/>
      <c r="AT472" s="7"/>
      <c r="AU472" s="8"/>
    </row>
    <row r="473" spans="1:47" ht="15" x14ac:dyDescent="0.25">
      <c r="A473" s="6"/>
      <c r="B473" s="6"/>
      <c r="C473" s="7"/>
      <c r="D473" s="7"/>
      <c r="E473">
        <v>31706</v>
      </c>
      <c r="F473" s="7"/>
      <c r="G473" s="7"/>
      <c r="H473" s="15"/>
      <c r="I473" s="8"/>
      <c r="J473" s="8"/>
      <c r="K473" s="8"/>
      <c r="L473" s="8"/>
      <c r="M473" s="8"/>
      <c r="N473" s="8"/>
      <c r="O473" s="8"/>
      <c r="P473" s="8"/>
      <c r="Q473" s="34"/>
      <c r="R473" s="8"/>
      <c r="S473" s="8"/>
      <c r="T473" s="7"/>
      <c r="U473" s="7"/>
      <c r="V473" s="7"/>
      <c r="W473" s="7"/>
      <c r="X473" s="7"/>
      <c r="Y473" s="7"/>
      <c r="Z473" s="7"/>
      <c r="AA473" s="7"/>
      <c r="AB473" s="7"/>
      <c r="AC473" s="7"/>
      <c r="AD473" s="7"/>
      <c r="AE473" s="7"/>
      <c r="AF473" s="7"/>
      <c r="AG473" s="7"/>
      <c r="AH473" s="7"/>
      <c r="AI473" s="7"/>
      <c r="AJ473" s="7"/>
      <c r="AK473" s="7"/>
      <c r="AL473" s="7"/>
      <c r="AM473" s="169"/>
      <c r="AN473" s="7"/>
      <c r="AO473" s="7"/>
      <c r="AP473" s="6"/>
      <c r="AQ473" s="7"/>
      <c r="AR473" s="8"/>
      <c r="AS473" s="7"/>
      <c r="AT473" s="7"/>
      <c r="AU473" s="8"/>
    </row>
    <row r="474" spans="1:47" ht="15" x14ac:dyDescent="0.25">
      <c r="A474" s="6"/>
      <c r="B474" s="6"/>
      <c r="C474" s="7"/>
      <c r="D474" s="7"/>
      <c r="E474">
        <v>31421</v>
      </c>
      <c r="F474" s="7"/>
      <c r="G474" s="7"/>
      <c r="H474" s="15"/>
      <c r="I474" s="8"/>
      <c r="J474" s="8"/>
      <c r="K474" s="8"/>
      <c r="L474" s="8"/>
      <c r="M474" s="8"/>
      <c r="N474" s="8"/>
      <c r="O474" s="8"/>
      <c r="P474" s="8"/>
      <c r="Q474" s="34"/>
      <c r="R474" s="8"/>
      <c r="S474" s="8"/>
      <c r="T474" s="7"/>
      <c r="U474" s="7"/>
      <c r="V474" s="7"/>
      <c r="W474" s="7"/>
      <c r="X474" s="7"/>
      <c r="Y474" s="7"/>
      <c r="Z474" s="7"/>
      <c r="AA474" s="7"/>
      <c r="AB474" s="7"/>
      <c r="AC474" s="7"/>
      <c r="AD474" s="7"/>
      <c r="AE474" s="7"/>
      <c r="AF474" s="7"/>
      <c r="AG474" s="7"/>
      <c r="AH474" s="7"/>
      <c r="AI474" s="7"/>
      <c r="AJ474" s="7"/>
      <c r="AK474" s="7"/>
      <c r="AL474" s="7"/>
      <c r="AM474" s="169"/>
      <c r="AN474" s="7"/>
      <c r="AO474" s="7"/>
      <c r="AP474" s="6"/>
      <c r="AQ474" s="7"/>
      <c r="AR474" s="8"/>
      <c r="AS474" s="7"/>
      <c r="AT474" s="7"/>
      <c r="AU474" s="8"/>
    </row>
    <row r="475" spans="1:47" ht="15" x14ac:dyDescent="0.25">
      <c r="A475" s="6"/>
      <c r="B475" s="6"/>
      <c r="C475" s="7"/>
      <c r="D475" s="7"/>
      <c r="E475">
        <v>31507</v>
      </c>
      <c r="F475" s="7"/>
      <c r="G475" s="7"/>
      <c r="H475" s="15"/>
      <c r="I475" s="8"/>
      <c r="J475" s="8"/>
      <c r="K475" s="8"/>
      <c r="L475" s="8"/>
      <c r="M475" s="8"/>
      <c r="N475" s="8"/>
      <c r="O475" s="8"/>
      <c r="P475" s="8"/>
      <c r="Q475" s="34"/>
      <c r="R475" s="8"/>
      <c r="S475" s="8"/>
      <c r="T475" s="7"/>
      <c r="U475" s="7"/>
      <c r="V475" s="7"/>
      <c r="W475" s="7"/>
      <c r="X475" s="7"/>
      <c r="Y475" s="7"/>
      <c r="Z475" s="7"/>
      <c r="AA475" s="7"/>
      <c r="AB475" s="7"/>
      <c r="AC475" s="7"/>
      <c r="AD475" s="7"/>
      <c r="AE475" s="7"/>
      <c r="AF475" s="7"/>
      <c r="AG475" s="7"/>
      <c r="AH475" s="7"/>
      <c r="AI475" s="7"/>
      <c r="AJ475" s="7"/>
      <c r="AK475" s="7"/>
      <c r="AL475" s="7"/>
      <c r="AM475" s="169"/>
      <c r="AN475" s="7"/>
      <c r="AO475" s="7"/>
      <c r="AP475" s="6"/>
      <c r="AQ475" s="7"/>
      <c r="AR475" s="8"/>
      <c r="AS475" s="7"/>
      <c r="AT475" s="7"/>
      <c r="AU475" s="8"/>
    </row>
    <row r="476" spans="1:47" ht="15" x14ac:dyDescent="0.25">
      <c r="A476" s="6"/>
      <c r="B476" s="6"/>
      <c r="C476" s="7"/>
      <c r="D476" s="7"/>
      <c r="E476">
        <v>31423</v>
      </c>
      <c r="F476" s="7"/>
      <c r="G476" s="7"/>
      <c r="H476" s="15"/>
      <c r="I476" s="8"/>
      <c r="J476" s="8"/>
      <c r="K476" s="8"/>
      <c r="L476" s="8"/>
      <c r="M476" s="8"/>
      <c r="N476" s="8"/>
      <c r="O476" s="8"/>
      <c r="P476" s="8"/>
      <c r="Q476" s="34"/>
      <c r="R476" s="8"/>
      <c r="S476" s="8"/>
      <c r="T476" s="7"/>
      <c r="U476" s="7"/>
      <c r="V476" s="7"/>
      <c r="W476" s="7"/>
      <c r="X476" s="7"/>
      <c r="Y476" s="7"/>
      <c r="Z476" s="7"/>
      <c r="AA476" s="7"/>
      <c r="AB476" s="7"/>
      <c r="AC476" s="7"/>
      <c r="AD476" s="7"/>
      <c r="AE476" s="7"/>
      <c r="AF476" s="7"/>
      <c r="AG476" s="7"/>
      <c r="AH476" s="7"/>
      <c r="AI476" s="7"/>
      <c r="AJ476" s="7"/>
      <c r="AK476" s="7"/>
      <c r="AL476" s="7"/>
      <c r="AM476" s="169"/>
      <c r="AN476" s="7"/>
      <c r="AO476" s="7"/>
      <c r="AP476" s="6"/>
      <c r="AQ476" s="7"/>
      <c r="AR476" s="8"/>
      <c r="AS476" s="7"/>
      <c r="AT476" s="7"/>
      <c r="AU476" s="8"/>
    </row>
    <row r="477" spans="1:47" ht="15" x14ac:dyDescent="0.25">
      <c r="A477" s="6"/>
      <c r="B477" s="6"/>
      <c r="C477" s="7"/>
      <c r="D477" s="7"/>
      <c r="E477">
        <v>31511</v>
      </c>
      <c r="F477" s="7"/>
      <c r="G477" s="7"/>
      <c r="H477" s="15"/>
      <c r="I477" s="8"/>
      <c r="J477" s="8"/>
      <c r="K477" s="8"/>
      <c r="L477" s="8"/>
      <c r="M477" s="8"/>
      <c r="N477" s="8"/>
      <c r="O477" s="8"/>
      <c r="P477" s="8"/>
      <c r="Q477" s="34"/>
      <c r="R477" s="8"/>
      <c r="S477" s="8"/>
      <c r="T477" s="7"/>
      <c r="U477" s="7"/>
      <c r="V477" s="7"/>
      <c r="W477" s="7"/>
      <c r="X477" s="7"/>
      <c r="Y477" s="7"/>
      <c r="Z477" s="7"/>
      <c r="AA477" s="7"/>
      <c r="AB477" s="7"/>
      <c r="AC477" s="7"/>
      <c r="AD477" s="7"/>
      <c r="AE477" s="7"/>
      <c r="AF477" s="7"/>
      <c r="AG477" s="7"/>
      <c r="AH477" s="7"/>
      <c r="AI477" s="7"/>
      <c r="AJ477" s="7"/>
      <c r="AK477" s="7"/>
      <c r="AL477" s="7"/>
      <c r="AM477" s="169"/>
      <c r="AN477" s="7"/>
      <c r="AO477" s="7"/>
      <c r="AP477" s="6"/>
      <c r="AQ477" s="7"/>
      <c r="AR477" s="8"/>
      <c r="AS477" s="7"/>
      <c r="AT477" s="7"/>
      <c r="AU477" s="8"/>
    </row>
    <row r="478" spans="1:47" ht="15" x14ac:dyDescent="0.25">
      <c r="B478" s="6"/>
      <c r="C478" s="7"/>
      <c r="D478" s="7"/>
      <c r="E478">
        <v>31609</v>
      </c>
      <c r="F478" s="7"/>
      <c r="G478" s="7"/>
      <c r="H478" s="15"/>
      <c r="I478" s="8"/>
      <c r="J478" s="8"/>
      <c r="K478" s="8"/>
      <c r="L478" s="8"/>
      <c r="M478" s="8"/>
      <c r="N478" s="8"/>
      <c r="R478" s="3"/>
      <c r="S478" s="3"/>
      <c r="V478" s="7"/>
      <c r="W478" s="7"/>
      <c r="X478" s="7"/>
      <c r="Y478" s="7"/>
      <c r="Z478" s="7"/>
      <c r="AA478" s="7"/>
      <c r="AB478" s="7"/>
      <c r="AC478" s="7"/>
      <c r="AD478" s="7"/>
      <c r="AE478" s="7"/>
      <c r="AF478" s="7"/>
      <c r="AG478" s="7"/>
      <c r="AH478" s="7"/>
      <c r="AI478" s="7"/>
      <c r="AJ478" s="7"/>
      <c r="AK478" s="7"/>
      <c r="AL478" s="7"/>
      <c r="AM478" s="170"/>
      <c r="AP478" s="1"/>
      <c r="AQ478" s="2"/>
      <c r="AR478" s="3"/>
      <c r="AS478" s="2"/>
      <c r="AT478" s="2"/>
      <c r="AU478" s="3"/>
    </row>
    <row r="479" spans="1:47" ht="15" x14ac:dyDescent="0.25">
      <c r="B479" s="6"/>
      <c r="C479" s="7"/>
      <c r="D479" s="7"/>
      <c r="E479">
        <v>31627</v>
      </c>
      <c r="F479" s="7"/>
      <c r="G479" s="7"/>
      <c r="H479" s="15"/>
      <c r="I479" s="8"/>
      <c r="J479" s="8"/>
      <c r="K479" s="8"/>
      <c r="L479" s="8"/>
      <c r="M479" s="8"/>
      <c r="N479" s="8"/>
      <c r="R479" s="3"/>
      <c r="S479" s="3"/>
      <c r="V479" s="7"/>
      <c r="W479" s="7"/>
      <c r="X479" s="7"/>
      <c r="Y479" s="7"/>
      <c r="Z479" s="7"/>
      <c r="AA479" s="7"/>
      <c r="AB479" s="7"/>
      <c r="AC479" s="7"/>
      <c r="AD479" s="7"/>
      <c r="AE479" s="7"/>
      <c r="AF479" s="7"/>
      <c r="AG479" s="7"/>
      <c r="AH479" s="7"/>
      <c r="AI479" s="7"/>
      <c r="AJ479" s="7"/>
      <c r="AK479" s="7"/>
      <c r="AL479" s="7"/>
      <c r="AM479" s="170"/>
      <c r="AP479" s="1"/>
      <c r="AQ479" s="2"/>
      <c r="AR479" s="3"/>
      <c r="AS479" s="2"/>
      <c r="AT479" s="2"/>
      <c r="AU479" s="3"/>
    </row>
    <row r="480" spans="1:47" ht="15" x14ac:dyDescent="0.25">
      <c r="B480" s="6"/>
      <c r="C480" s="7"/>
      <c r="D480" s="7"/>
      <c r="E480">
        <v>31412</v>
      </c>
      <c r="F480" s="7"/>
      <c r="G480" s="7"/>
      <c r="H480" s="15"/>
      <c r="I480" s="8"/>
      <c r="J480" s="8"/>
      <c r="K480" s="8"/>
      <c r="L480" s="8"/>
      <c r="M480" s="8"/>
      <c r="N480" s="8"/>
      <c r="R480" s="3"/>
      <c r="S480" s="3"/>
      <c r="V480" s="7"/>
      <c r="W480" s="7"/>
      <c r="X480" s="7"/>
      <c r="Y480" s="7"/>
      <c r="Z480" s="7"/>
      <c r="AA480" s="7"/>
      <c r="AB480" s="7"/>
      <c r="AC480" s="7"/>
      <c r="AD480" s="7"/>
      <c r="AE480" s="7"/>
      <c r="AF480" s="7"/>
      <c r="AG480" s="7"/>
      <c r="AH480" s="7"/>
      <c r="AI480" s="7"/>
      <c r="AJ480" s="7"/>
      <c r="AK480" s="7"/>
      <c r="AL480" s="7"/>
      <c r="AM480" s="170"/>
      <c r="AP480" s="1"/>
      <c r="AQ480" s="2"/>
      <c r="AR480" s="3"/>
      <c r="AS480" s="2"/>
      <c r="AT480" s="2"/>
      <c r="AU480" s="3"/>
    </row>
    <row r="481" spans="2:47" ht="15" x14ac:dyDescent="0.25">
      <c r="B481" s="6"/>
      <c r="C481" s="7"/>
      <c r="D481" s="7"/>
      <c r="E481">
        <v>31815</v>
      </c>
      <c r="F481" s="7"/>
      <c r="G481" s="7"/>
      <c r="H481" s="15"/>
      <c r="I481" s="16"/>
      <c r="J481" s="16"/>
      <c r="K481" s="16"/>
      <c r="N481" s="16"/>
      <c r="P481" s="16"/>
      <c r="R481" s="3"/>
      <c r="S481" s="16"/>
      <c r="V481" s="7"/>
      <c r="W481" s="7"/>
      <c r="X481" s="7"/>
      <c r="Y481" s="7"/>
      <c r="Z481" s="7"/>
      <c r="AA481" s="7"/>
      <c r="AB481" s="7"/>
      <c r="AC481" s="7"/>
      <c r="AD481" s="7"/>
      <c r="AE481" s="7"/>
      <c r="AF481" s="7"/>
      <c r="AG481" s="7"/>
      <c r="AH481" s="7"/>
      <c r="AI481" s="7"/>
      <c r="AJ481" s="7"/>
      <c r="AK481" s="7"/>
      <c r="AL481" s="7"/>
      <c r="AM481" s="170"/>
      <c r="AP481" s="1"/>
      <c r="AQ481" s="2"/>
      <c r="AR481" s="3"/>
      <c r="AS481" s="2"/>
      <c r="AT481" s="2"/>
      <c r="AU481" s="3"/>
    </row>
    <row r="482" spans="2:47" ht="15" x14ac:dyDescent="0.25">
      <c r="B482" s="6"/>
      <c r="C482" s="7"/>
      <c r="D482" s="7"/>
      <c r="E482">
        <v>31424</v>
      </c>
      <c r="F482" s="7"/>
      <c r="G482" s="7"/>
      <c r="H482" s="7"/>
      <c r="I482" s="15"/>
      <c r="R482" s="3"/>
      <c r="S482" s="3"/>
      <c r="V482" s="7"/>
      <c r="W482" s="7"/>
      <c r="X482" s="7"/>
      <c r="Y482" s="7"/>
      <c r="Z482" s="7"/>
      <c r="AA482" s="7"/>
      <c r="AB482" s="7"/>
      <c r="AC482" s="7"/>
      <c r="AD482" s="7"/>
      <c r="AE482" s="7"/>
      <c r="AF482" s="7"/>
      <c r="AG482" s="7"/>
      <c r="AH482" s="7"/>
      <c r="AI482" s="7"/>
      <c r="AJ482" s="7"/>
      <c r="AK482" s="7"/>
      <c r="AL482" s="7"/>
      <c r="AM482" s="170"/>
      <c r="AP482" s="1"/>
      <c r="AQ482" s="2"/>
      <c r="AR482" s="3"/>
      <c r="AS482" s="2"/>
      <c r="AT482" s="2"/>
      <c r="AU482" s="3"/>
    </row>
    <row r="483" spans="2:47" ht="15" x14ac:dyDescent="0.25">
      <c r="B483" s="6"/>
      <c r="C483" s="7"/>
      <c r="D483" s="7"/>
      <c r="E483">
        <v>31413</v>
      </c>
      <c r="F483" s="7"/>
      <c r="G483" s="7"/>
      <c r="H483" s="7"/>
      <c r="I483" s="15"/>
      <c r="R483" s="3"/>
      <c r="S483" s="3"/>
      <c r="V483" s="7"/>
      <c r="W483" s="7"/>
      <c r="X483" s="7"/>
      <c r="Y483" s="7"/>
      <c r="Z483" s="7"/>
      <c r="AA483" s="7"/>
      <c r="AB483" s="7"/>
      <c r="AC483" s="7"/>
      <c r="AD483" s="7"/>
      <c r="AE483" s="7"/>
      <c r="AF483" s="7"/>
      <c r="AG483" s="7"/>
      <c r="AH483" s="7"/>
      <c r="AI483" s="7"/>
      <c r="AJ483" s="7"/>
      <c r="AK483" s="7"/>
      <c r="AL483" s="7"/>
      <c r="AM483" s="170"/>
      <c r="AP483" s="1"/>
      <c r="AQ483" s="2"/>
      <c r="AR483" s="3"/>
      <c r="AS483" s="2"/>
      <c r="AT483" s="2"/>
      <c r="AU483" s="3"/>
    </row>
    <row r="484" spans="2:47" ht="15" x14ac:dyDescent="0.25">
      <c r="B484" s="6"/>
      <c r="C484" s="7"/>
      <c r="D484" s="7"/>
      <c r="E484">
        <v>31707</v>
      </c>
      <c r="F484" s="7"/>
      <c r="G484" s="7"/>
      <c r="H484" s="7"/>
      <c r="I484" s="15"/>
      <c r="R484" s="3"/>
      <c r="S484" s="3"/>
      <c r="V484" s="7"/>
      <c r="W484" s="7"/>
      <c r="X484" s="7"/>
      <c r="Y484" s="7"/>
      <c r="Z484" s="7"/>
      <c r="AA484" s="7"/>
      <c r="AB484" s="7"/>
      <c r="AC484" s="7"/>
      <c r="AD484" s="7"/>
      <c r="AE484" s="7"/>
      <c r="AF484" s="7"/>
      <c r="AG484" s="7"/>
      <c r="AH484" s="7"/>
      <c r="AI484" s="7"/>
      <c r="AJ484" s="7"/>
      <c r="AK484" s="7"/>
      <c r="AL484" s="7"/>
      <c r="AM484" s="170"/>
      <c r="AP484" s="1"/>
      <c r="AQ484" s="2"/>
      <c r="AR484" s="3"/>
      <c r="AS484" s="2"/>
      <c r="AT484" s="2"/>
      <c r="AU484" s="3"/>
    </row>
    <row r="485" spans="2:47" ht="15" x14ac:dyDescent="0.25">
      <c r="B485" s="6"/>
      <c r="C485" s="7"/>
      <c r="D485" s="7"/>
      <c r="E485">
        <v>31512</v>
      </c>
      <c r="F485" s="7"/>
      <c r="G485" s="7"/>
      <c r="H485" s="7"/>
      <c r="I485" s="15"/>
      <c r="R485" s="3"/>
      <c r="S485" s="3"/>
      <c r="V485" s="7"/>
      <c r="W485" s="7"/>
      <c r="X485" s="7"/>
      <c r="Y485" s="7"/>
      <c r="Z485" s="7"/>
      <c r="AA485" s="7"/>
      <c r="AB485" s="7"/>
      <c r="AC485" s="7"/>
      <c r="AD485" s="7"/>
      <c r="AE485" s="7"/>
      <c r="AF485" s="7"/>
      <c r="AG485" s="7"/>
      <c r="AH485" s="7"/>
      <c r="AI485" s="7"/>
      <c r="AJ485" s="7"/>
      <c r="AK485" s="7"/>
      <c r="AL485" s="7"/>
      <c r="AM485" s="170"/>
      <c r="AP485" s="1"/>
      <c r="AQ485" s="2"/>
      <c r="AR485" s="3"/>
      <c r="AS485" s="2"/>
      <c r="AT485" s="2"/>
      <c r="AU485" s="3"/>
    </row>
    <row r="486" spans="2:47" ht="15" x14ac:dyDescent="0.25">
      <c r="B486" s="6"/>
      <c r="C486" s="7"/>
      <c r="D486" s="7"/>
      <c r="E486">
        <v>31814</v>
      </c>
      <c r="F486" s="7"/>
      <c r="G486" s="7"/>
      <c r="H486" s="7"/>
      <c r="I486" s="15"/>
      <c r="R486" s="3"/>
      <c r="S486" s="3"/>
      <c r="V486" s="7"/>
      <c r="W486" s="7"/>
      <c r="X486" s="7"/>
      <c r="Y486" s="7"/>
      <c r="Z486" s="7"/>
      <c r="AA486" s="7"/>
      <c r="AB486" s="7"/>
      <c r="AC486" s="7"/>
      <c r="AD486" s="7"/>
      <c r="AE486" s="7"/>
      <c r="AF486" s="7"/>
      <c r="AG486" s="7"/>
      <c r="AH486" s="7"/>
      <c r="AI486" s="7"/>
      <c r="AJ486" s="7"/>
      <c r="AK486" s="7"/>
      <c r="AL486" s="7"/>
      <c r="AM486" s="170"/>
      <c r="AP486" s="1"/>
      <c r="AQ486" s="2"/>
      <c r="AR486" s="3"/>
      <c r="AS486" s="2"/>
      <c r="AT486" s="2"/>
      <c r="AU486" s="3"/>
    </row>
    <row r="487" spans="2:47" ht="15" x14ac:dyDescent="0.25">
      <c r="B487" s="6"/>
      <c r="C487" s="7"/>
      <c r="D487" s="7"/>
      <c r="E487">
        <v>31611</v>
      </c>
      <c r="F487" s="7"/>
      <c r="G487" s="7"/>
      <c r="H487" s="7"/>
      <c r="I487" s="15"/>
      <c r="R487" s="3"/>
      <c r="S487" s="3"/>
      <c r="V487" s="7"/>
      <c r="W487" s="7"/>
      <c r="X487" s="7"/>
      <c r="Y487" s="7"/>
      <c r="Z487" s="7"/>
      <c r="AA487" s="7"/>
      <c r="AB487" s="7"/>
      <c r="AC487" s="7"/>
      <c r="AD487" s="7"/>
      <c r="AE487" s="7"/>
      <c r="AF487" s="7"/>
      <c r="AG487" s="7"/>
      <c r="AH487" s="7"/>
      <c r="AI487" s="7"/>
      <c r="AJ487" s="7"/>
      <c r="AK487" s="7"/>
      <c r="AL487" s="7"/>
      <c r="AM487" s="170"/>
      <c r="AP487" s="1"/>
      <c r="AQ487" s="2"/>
      <c r="AR487" s="3"/>
      <c r="AS487" s="2"/>
      <c r="AT487" s="2"/>
      <c r="AU487" s="3"/>
    </row>
    <row r="488" spans="2:47" ht="15" x14ac:dyDescent="0.25">
      <c r="B488" s="6"/>
      <c r="C488" s="7"/>
      <c r="D488" s="7"/>
      <c r="E488">
        <v>31816</v>
      </c>
      <c r="F488" s="7"/>
      <c r="G488" s="7"/>
      <c r="H488" s="7"/>
      <c r="I488" s="15"/>
      <c r="R488" s="3"/>
      <c r="S488" s="3"/>
      <c r="V488" s="7"/>
      <c r="W488" s="7"/>
      <c r="X488" s="7"/>
      <c r="Y488" s="7"/>
      <c r="Z488" s="7"/>
      <c r="AA488" s="7"/>
      <c r="AB488" s="7"/>
      <c r="AC488" s="7"/>
      <c r="AD488" s="7"/>
      <c r="AE488" s="7"/>
      <c r="AF488" s="7"/>
      <c r="AG488" s="7"/>
      <c r="AH488" s="7"/>
      <c r="AI488" s="7"/>
      <c r="AJ488" s="7"/>
      <c r="AK488" s="7"/>
      <c r="AL488" s="7"/>
      <c r="AM488" s="170"/>
      <c r="AP488" s="1"/>
      <c r="AQ488" s="2"/>
      <c r="AR488" s="3"/>
      <c r="AS488" s="2"/>
      <c r="AT488" s="2"/>
      <c r="AU488" s="3"/>
    </row>
    <row r="489" spans="2:47" ht="15" x14ac:dyDescent="0.25">
      <c r="B489" s="6"/>
      <c r="C489" s="7"/>
      <c r="D489" s="7"/>
      <c r="E489">
        <v>31722</v>
      </c>
      <c r="F489" s="7"/>
      <c r="G489" s="7"/>
      <c r="H489" s="7"/>
      <c r="I489" s="15"/>
      <c r="R489" s="3"/>
      <c r="S489" s="3"/>
      <c r="V489" s="7"/>
      <c r="W489" s="7"/>
      <c r="X489" s="7"/>
      <c r="Y489" s="7"/>
      <c r="Z489" s="7"/>
      <c r="AA489" s="7"/>
      <c r="AB489" s="7"/>
      <c r="AC489" s="7"/>
      <c r="AD489" s="7"/>
      <c r="AE489" s="7"/>
      <c r="AF489" s="7"/>
      <c r="AG489" s="7"/>
      <c r="AH489" s="7"/>
      <c r="AI489" s="7"/>
      <c r="AJ489" s="7"/>
      <c r="AK489" s="7"/>
      <c r="AL489" s="7"/>
      <c r="AM489" s="170"/>
      <c r="AP489" s="1"/>
      <c r="AQ489" s="2"/>
      <c r="AR489" s="3"/>
      <c r="AS489" s="2"/>
      <c r="AT489" s="2"/>
      <c r="AU489" s="3"/>
    </row>
    <row r="490" spans="2:47" ht="15" x14ac:dyDescent="0.25">
      <c r="E490">
        <v>31628</v>
      </c>
      <c r="V490" s="7"/>
      <c r="W490" s="7"/>
      <c r="X490" s="7"/>
      <c r="Y490" s="7"/>
      <c r="Z490" s="7"/>
      <c r="AA490" s="7"/>
      <c r="AB490" s="7"/>
      <c r="AC490" s="7"/>
      <c r="AD490" s="7"/>
      <c r="AE490" s="7"/>
      <c r="AF490" s="7"/>
      <c r="AG490" s="7"/>
      <c r="AH490" s="7"/>
      <c r="AI490" s="7"/>
      <c r="AJ490" s="7"/>
      <c r="AK490" s="7"/>
      <c r="AL490" s="7"/>
    </row>
    <row r="491" spans="2:47" ht="15" x14ac:dyDescent="0.25">
      <c r="E491">
        <v>31630</v>
      </c>
      <c r="V491" s="7"/>
      <c r="W491" s="7"/>
      <c r="X491" s="7"/>
      <c r="Y491" s="7"/>
      <c r="Z491" s="7"/>
      <c r="AA491" s="7"/>
      <c r="AB491" s="7"/>
      <c r="AC491" s="7"/>
      <c r="AD491" s="7"/>
      <c r="AE491" s="7"/>
      <c r="AF491" s="7"/>
      <c r="AG491" s="7"/>
      <c r="AH491" s="7"/>
      <c r="AI491" s="7"/>
      <c r="AJ491" s="7"/>
      <c r="AK491" s="7"/>
      <c r="AL491" s="7"/>
    </row>
    <row r="492" spans="2:47" ht="15" x14ac:dyDescent="0.25">
      <c r="E492">
        <v>31422</v>
      </c>
      <c r="V492" s="7"/>
      <c r="W492" s="7"/>
      <c r="X492" s="7"/>
      <c r="Y492" s="7"/>
      <c r="Z492" s="7"/>
      <c r="AA492" s="7"/>
      <c r="AB492" s="7"/>
      <c r="AC492" s="7"/>
      <c r="AD492" s="7"/>
      <c r="AE492" s="7"/>
      <c r="AF492" s="7"/>
      <c r="AG492" s="7"/>
      <c r="AH492" s="7"/>
      <c r="AI492" s="7"/>
      <c r="AJ492" s="7"/>
      <c r="AK492" s="7"/>
      <c r="AL492" s="7"/>
    </row>
    <row r="493" spans="2:47" ht="15" x14ac:dyDescent="0.25">
      <c r="E493">
        <v>31514</v>
      </c>
      <c r="V493" s="7"/>
      <c r="W493" s="7"/>
      <c r="X493" s="7"/>
      <c r="Y493" s="7"/>
      <c r="Z493" s="7"/>
      <c r="AA493" s="7"/>
      <c r="AB493" s="7"/>
      <c r="AC493" s="7"/>
      <c r="AD493" s="7"/>
      <c r="AE493" s="7"/>
      <c r="AF493" s="7"/>
      <c r="AG493" s="7"/>
      <c r="AH493" s="7"/>
      <c r="AI493" s="7"/>
      <c r="AJ493" s="7"/>
      <c r="AK493" s="7"/>
      <c r="AL493" s="7"/>
    </row>
    <row r="494" spans="2:47" ht="15" x14ac:dyDescent="0.25">
      <c r="E494">
        <v>31626</v>
      </c>
      <c r="V494" s="7"/>
      <c r="W494" s="7"/>
      <c r="X494" s="7"/>
      <c r="Y494" s="7"/>
      <c r="Z494" s="7"/>
      <c r="AA494" s="7"/>
      <c r="AB494" s="7"/>
      <c r="AC494" s="7"/>
      <c r="AD494" s="7"/>
      <c r="AE494" s="7"/>
      <c r="AF494" s="7"/>
      <c r="AG494" s="7"/>
      <c r="AH494" s="7"/>
      <c r="AI494" s="7"/>
      <c r="AJ494" s="7"/>
      <c r="AK494" s="7"/>
      <c r="AL494" s="7"/>
    </row>
    <row r="495" spans="2:47" ht="15" x14ac:dyDescent="0.25">
      <c r="E495">
        <v>31508</v>
      </c>
      <c r="V495" s="7"/>
      <c r="W495" s="7"/>
      <c r="X495" s="7"/>
      <c r="Y495" s="7"/>
      <c r="Z495" s="7"/>
      <c r="AA495" s="7"/>
      <c r="AB495" s="7"/>
      <c r="AC495" s="7"/>
      <c r="AD495" s="7"/>
      <c r="AE495" s="7"/>
      <c r="AF495" s="7"/>
      <c r="AG495" s="7"/>
      <c r="AH495" s="7"/>
      <c r="AI495" s="7"/>
      <c r="AJ495" s="7"/>
      <c r="AK495" s="7"/>
      <c r="AL495" s="7"/>
    </row>
    <row r="496" spans="2:47" ht="15" x14ac:dyDescent="0.25">
      <c r="E496">
        <v>31610</v>
      </c>
      <c r="V496" s="7"/>
      <c r="W496" s="7"/>
      <c r="X496" s="7"/>
      <c r="Y496" s="7"/>
      <c r="Z496" s="7"/>
      <c r="AA496" s="7"/>
      <c r="AB496" s="7"/>
      <c r="AC496" s="7"/>
      <c r="AD496" s="7"/>
      <c r="AE496" s="7"/>
      <c r="AF496" s="7"/>
      <c r="AG496" s="7"/>
      <c r="AH496" s="7"/>
      <c r="AI496" s="7"/>
      <c r="AJ496" s="7"/>
      <c r="AK496" s="7"/>
      <c r="AL496" s="7"/>
    </row>
    <row r="497" spans="5:38" ht="15" x14ac:dyDescent="0.25">
      <c r="E497">
        <v>31807</v>
      </c>
      <c r="V497" s="7"/>
      <c r="W497" s="7"/>
      <c r="X497" s="7"/>
      <c r="Y497" s="7"/>
      <c r="Z497" s="7"/>
      <c r="AA497" s="7"/>
      <c r="AB497" s="7"/>
      <c r="AC497" s="7"/>
      <c r="AD497" s="7"/>
      <c r="AE497" s="7"/>
      <c r="AF497" s="7"/>
      <c r="AG497" s="7"/>
      <c r="AH497" s="7"/>
      <c r="AI497" s="7"/>
      <c r="AJ497" s="7"/>
      <c r="AK497" s="7"/>
      <c r="AL497" s="7"/>
    </row>
    <row r="498" spans="5:38" ht="15" x14ac:dyDescent="0.25">
      <c r="E498">
        <v>31612</v>
      </c>
      <c r="V498" s="7"/>
      <c r="W498" s="7"/>
      <c r="X498" s="7"/>
      <c r="Y498" s="7"/>
      <c r="Z498" s="7"/>
      <c r="AA498" s="7"/>
      <c r="AB498" s="7"/>
      <c r="AC498" s="7"/>
      <c r="AD498" s="7"/>
      <c r="AE498" s="7"/>
      <c r="AF498" s="7"/>
      <c r="AG498" s="7"/>
      <c r="AH498" s="7"/>
      <c r="AI498" s="7"/>
      <c r="AJ498" s="7"/>
      <c r="AK498" s="7"/>
      <c r="AL498" s="7"/>
    </row>
    <row r="499" spans="5:38" ht="15" x14ac:dyDescent="0.25">
      <c r="E499">
        <v>31629</v>
      </c>
      <c r="V499" s="7"/>
      <c r="W499" s="7"/>
      <c r="X499" s="7"/>
      <c r="Y499" s="7"/>
      <c r="Z499" s="7"/>
      <c r="AA499" s="7"/>
      <c r="AB499" s="7"/>
      <c r="AC499" s="7"/>
      <c r="AD499" s="7"/>
      <c r="AE499" s="7"/>
      <c r="AF499" s="7"/>
      <c r="AG499" s="7"/>
      <c r="AH499" s="7"/>
      <c r="AI499" s="7"/>
      <c r="AJ499" s="7"/>
      <c r="AK499" s="7"/>
      <c r="AL499" s="7"/>
    </row>
    <row r="500" spans="5:38" ht="15" x14ac:dyDescent="0.25">
      <c r="E500">
        <v>31613</v>
      </c>
      <c r="V500" s="7"/>
      <c r="W500" s="7"/>
      <c r="X500" s="7"/>
      <c r="Y500" s="7"/>
      <c r="Z500" s="7"/>
      <c r="AA500" s="7"/>
      <c r="AB500" s="7"/>
      <c r="AC500" s="7"/>
      <c r="AD500" s="7"/>
      <c r="AE500" s="7"/>
      <c r="AF500" s="7"/>
      <c r="AG500" s="7"/>
      <c r="AH500" s="7"/>
      <c r="AI500" s="7"/>
      <c r="AJ500" s="7"/>
      <c r="AK500" s="7"/>
      <c r="AL500" s="7"/>
    </row>
    <row r="501" spans="5:38" ht="15" x14ac:dyDescent="0.25">
      <c r="E501">
        <v>31818</v>
      </c>
      <c r="V501" s="7"/>
      <c r="W501" s="7"/>
      <c r="X501" s="7"/>
      <c r="Y501" s="7"/>
      <c r="Z501" s="7"/>
      <c r="AA501" s="7"/>
      <c r="AB501" s="7"/>
      <c r="AC501" s="7"/>
      <c r="AD501" s="7"/>
      <c r="AE501" s="7"/>
      <c r="AF501" s="7"/>
      <c r="AG501" s="7"/>
      <c r="AH501" s="7"/>
      <c r="AI501" s="7"/>
      <c r="AJ501" s="7"/>
      <c r="AK501" s="7"/>
      <c r="AL501" s="7"/>
    </row>
    <row r="502" spans="5:38" ht="15" x14ac:dyDescent="0.25">
      <c r="E502">
        <v>31808</v>
      </c>
      <c r="V502" s="7"/>
      <c r="W502" s="7"/>
      <c r="X502" s="7"/>
      <c r="Y502" s="7"/>
      <c r="Z502" s="7"/>
      <c r="AA502" s="7"/>
      <c r="AB502" s="7"/>
      <c r="AC502" s="7"/>
      <c r="AD502" s="7"/>
      <c r="AE502" s="7"/>
      <c r="AF502" s="7"/>
      <c r="AG502" s="7"/>
      <c r="AH502" s="7"/>
      <c r="AI502" s="7"/>
      <c r="AJ502" s="7"/>
      <c r="AK502" s="7"/>
      <c r="AL502" s="7"/>
    </row>
    <row r="503" spans="5:38" ht="15" x14ac:dyDescent="0.25">
      <c r="E503">
        <v>31724</v>
      </c>
      <c r="V503" s="7"/>
      <c r="W503" s="7"/>
      <c r="X503" s="7"/>
      <c r="Y503" s="7"/>
      <c r="Z503" s="7"/>
      <c r="AA503" s="7"/>
      <c r="AB503" s="7"/>
      <c r="AC503" s="7"/>
      <c r="AD503" s="7"/>
      <c r="AE503" s="7"/>
      <c r="AF503" s="7"/>
      <c r="AG503" s="7"/>
      <c r="AH503" s="7"/>
      <c r="AI503" s="7"/>
      <c r="AJ503" s="7"/>
      <c r="AK503" s="7"/>
      <c r="AL503" s="7"/>
    </row>
    <row r="504" spans="5:38" ht="15" x14ac:dyDescent="0.25">
      <c r="E504">
        <v>31806</v>
      </c>
      <c r="V504" s="7"/>
      <c r="W504" s="7"/>
      <c r="X504" s="7"/>
      <c r="Y504" s="7"/>
      <c r="Z504" s="7"/>
      <c r="AA504" s="7"/>
      <c r="AB504" s="7"/>
      <c r="AC504" s="7"/>
      <c r="AD504" s="7"/>
      <c r="AE504" s="7"/>
      <c r="AF504" s="7"/>
      <c r="AG504" s="7"/>
      <c r="AH504" s="7"/>
      <c r="AI504" s="7"/>
      <c r="AJ504" s="7"/>
      <c r="AK504" s="7"/>
      <c r="AL504" s="7"/>
    </row>
    <row r="505" spans="5:38" ht="15" x14ac:dyDescent="0.25">
      <c r="E505">
        <v>31428</v>
      </c>
      <c r="V505" s="7"/>
      <c r="W505" s="7"/>
      <c r="X505" s="7"/>
      <c r="Y505" s="7"/>
      <c r="Z505" s="7"/>
      <c r="AA505" s="7"/>
      <c r="AB505" s="7"/>
      <c r="AC505" s="7"/>
      <c r="AD505" s="7"/>
      <c r="AE505" s="7"/>
      <c r="AF505" s="7"/>
      <c r="AG505" s="7"/>
      <c r="AH505" s="7"/>
      <c r="AI505" s="7"/>
      <c r="AJ505" s="7"/>
      <c r="AK505" s="7"/>
      <c r="AL505" s="7"/>
    </row>
    <row r="506" spans="5:38" ht="15" x14ac:dyDescent="0.25">
      <c r="E506">
        <v>31516</v>
      </c>
      <c r="V506" s="7"/>
      <c r="W506" s="7"/>
      <c r="X506" s="7"/>
      <c r="Y506" s="7"/>
      <c r="Z506" s="7"/>
      <c r="AA506" s="7"/>
      <c r="AB506" s="7"/>
      <c r="AC506" s="7"/>
      <c r="AD506" s="7"/>
      <c r="AE506" s="7"/>
      <c r="AF506" s="7"/>
      <c r="AG506" s="7"/>
      <c r="AH506" s="7"/>
      <c r="AI506" s="7"/>
      <c r="AJ506" s="7"/>
      <c r="AK506" s="7"/>
      <c r="AL506" s="7"/>
    </row>
    <row r="507" spans="5:38" ht="15" x14ac:dyDescent="0.25">
      <c r="E507">
        <v>31513</v>
      </c>
      <c r="V507" s="7"/>
      <c r="W507" s="7"/>
      <c r="X507" s="7"/>
      <c r="Y507" s="7"/>
      <c r="Z507" s="7"/>
      <c r="AA507" s="7"/>
      <c r="AB507" s="7"/>
      <c r="AC507" s="7"/>
      <c r="AD507" s="7"/>
      <c r="AE507" s="7"/>
      <c r="AF507" s="7"/>
      <c r="AG507" s="7"/>
      <c r="AH507" s="7"/>
      <c r="AI507" s="7"/>
      <c r="AJ507" s="7"/>
      <c r="AK507" s="7"/>
      <c r="AL507" s="7"/>
    </row>
    <row r="508" spans="5:38" ht="15" x14ac:dyDescent="0.25">
      <c r="E508">
        <v>31416</v>
      </c>
      <c r="V508" s="7"/>
      <c r="W508" s="7"/>
      <c r="X508" s="7"/>
      <c r="Y508" s="7"/>
      <c r="Z508" s="7"/>
      <c r="AA508" s="7"/>
      <c r="AB508" s="7"/>
      <c r="AC508" s="7"/>
      <c r="AD508" s="7"/>
      <c r="AE508" s="7"/>
      <c r="AF508" s="7"/>
      <c r="AG508" s="7"/>
      <c r="AH508" s="7"/>
      <c r="AI508" s="7"/>
      <c r="AJ508" s="7"/>
      <c r="AK508" s="7"/>
      <c r="AL508" s="7"/>
    </row>
    <row r="509" spans="5:38" ht="15" x14ac:dyDescent="0.25">
      <c r="E509">
        <v>31443</v>
      </c>
      <c r="V509" s="7"/>
      <c r="W509" s="7"/>
      <c r="X509" s="7"/>
      <c r="Y509" s="7"/>
      <c r="Z509" s="7"/>
      <c r="AA509" s="7"/>
      <c r="AB509" s="7"/>
      <c r="AC509" s="7"/>
      <c r="AD509" s="7"/>
      <c r="AE509" s="7"/>
      <c r="AF509" s="7"/>
      <c r="AG509" s="7"/>
      <c r="AH509" s="7"/>
      <c r="AI509" s="7"/>
      <c r="AJ509" s="7"/>
      <c r="AK509" s="7"/>
      <c r="AL509" s="7"/>
    </row>
    <row r="510" spans="5:38" ht="15" x14ac:dyDescent="0.25">
      <c r="E510">
        <v>31425</v>
      </c>
      <c r="V510" s="7"/>
      <c r="W510" s="7"/>
      <c r="X510" s="7"/>
      <c r="Y510" s="7"/>
      <c r="Z510" s="7"/>
      <c r="AA510" s="7"/>
      <c r="AB510" s="7"/>
      <c r="AC510" s="7"/>
      <c r="AD510" s="7"/>
      <c r="AE510" s="7"/>
      <c r="AF510" s="7"/>
      <c r="AG510" s="7"/>
      <c r="AH510" s="7"/>
      <c r="AI510" s="7"/>
      <c r="AJ510" s="7"/>
      <c r="AK510" s="7"/>
      <c r="AL510" s="7"/>
    </row>
    <row r="511" spans="5:38" ht="15" x14ac:dyDescent="0.25">
      <c r="E511">
        <v>31631</v>
      </c>
      <c r="V511" s="7"/>
      <c r="W511" s="7"/>
      <c r="X511" s="7"/>
      <c r="Y511" s="7"/>
      <c r="Z511" s="7"/>
      <c r="AA511" s="7"/>
      <c r="AB511" s="7"/>
      <c r="AC511" s="7"/>
      <c r="AD511" s="7"/>
      <c r="AE511" s="7"/>
      <c r="AF511" s="7"/>
      <c r="AG511" s="7"/>
      <c r="AH511" s="7"/>
      <c r="AI511" s="7"/>
      <c r="AJ511" s="7"/>
      <c r="AK511" s="7"/>
      <c r="AL511" s="7"/>
    </row>
    <row r="512" spans="5:38" ht="15" x14ac:dyDescent="0.25">
      <c r="E512">
        <v>31723</v>
      </c>
      <c r="V512" s="7"/>
      <c r="W512" s="7"/>
      <c r="X512" s="7"/>
      <c r="Y512" s="7"/>
      <c r="Z512" s="7"/>
      <c r="AA512" s="7"/>
      <c r="AB512" s="7"/>
      <c r="AC512" s="7"/>
      <c r="AD512" s="7"/>
      <c r="AE512" s="7"/>
      <c r="AF512" s="7"/>
      <c r="AG512" s="7"/>
      <c r="AH512" s="7"/>
      <c r="AI512" s="7"/>
      <c r="AJ512" s="7"/>
      <c r="AK512" s="7"/>
      <c r="AL512" s="7"/>
    </row>
    <row r="513" spans="5:38" ht="15" x14ac:dyDescent="0.25">
      <c r="E513">
        <v>31415</v>
      </c>
      <c r="V513" s="7"/>
      <c r="W513" s="7"/>
      <c r="X513" s="7"/>
      <c r="Y513" s="7"/>
      <c r="Z513" s="7"/>
      <c r="AA513" s="7"/>
      <c r="AB513" s="7"/>
      <c r="AC513" s="7"/>
      <c r="AD513" s="7"/>
      <c r="AE513" s="7"/>
      <c r="AF513" s="7"/>
      <c r="AG513" s="7"/>
      <c r="AH513" s="7"/>
      <c r="AI513" s="7"/>
      <c r="AJ513" s="7"/>
      <c r="AK513" s="7"/>
      <c r="AL513" s="7"/>
    </row>
    <row r="514" spans="5:38" ht="15" x14ac:dyDescent="0.25">
      <c r="E514">
        <v>31442</v>
      </c>
      <c r="V514" s="7"/>
      <c r="W514" s="7"/>
      <c r="X514" s="7"/>
      <c r="Y514" s="7"/>
      <c r="Z514" s="7"/>
      <c r="AA514" s="7"/>
      <c r="AB514" s="7"/>
      <c r="AC514" s="7"/>
      <c r="AD514" s="7"/>
      <c r="AE514" s="7"/>
      <c r="AF514" s="7"/>
      <c r="AG514" s="7"/>
      <c r="AH514" s="7"/>
      <c r="AI514" s="7"/>
      <c r="AJ514" s="7"/>
      <c r="AK514" s="7"/>
      <c r="AL514" s="7"/>
    </row>
    <row r="515" spans="5:38" ht="15" x14ac:dyDescent="0.25">
      <c r="E515">
        <v>31820</v>
      </c>
      <c r="V515" s="7"/>
      <c r="W515" s="7"/>
      <c r="X515" s="7"/>
      <c r="Y515" s="7"/>
      <c r="Z515" s="7"/>
      <c r="AA515" s="7"/>
      <c r="AB515" s="7"/>
      <c r="AC515" s="7"/>
      <c r="AD515" s="7"/>
      <c r="AE515" s="7"/>
      <c r="AF515" s="7"/>
      <c r="AG515" s="7"/>
      <c r="AH515" s="7"/>
      <c r="AI515" s="7"/>
      <c r="AJ515" s="7"/>
      <c r="AK515" s="7"/>
      <c r="AL515" s="7"/>
    </row>
    <row r="516" spans="5:38" ht="15" x14ac:dyDescent="0.25">
      <c r="E516">
        <v>31518</v>
      </c>
      <c r="V516" s="7"/>
      <c r="W516" s="7"/>
      <c r="X516" s="7"/>
      <c r="Y516" s="7"/>
      <c r="Z516" s="7"/>
      <c r="AA516" s="7"/>
      <c r="AB516" s="7"/>
      <c r="AC516" s="7"/>
      <c r="AD516" s="7"/>
      <c r="AE516" s="7"/>
      <c r="AF516" s="7"/>
      <c r="AG516" s="7"/>
      <c r="AH516" s="7"/>
      <c r="AI516" s="7"/>
      <c r="AJ516" s="7"/>
      <c r="AK516" s="7"/>
      <c r="AL516" s="7"/>
    </row>
    <row r="517" spans="5:38" ht="15" x14ac:dyDescent="0.25">
      <c r="E517">
        <v>31822</v>
      </c>
      <c r="V517" s="7"/>
      <c r="W517" s="7"/>
      <c r="X517" s="7"/>
      <c r="Y517" s="7"/>
      <c r="Z517" s="7"/>
      <c r="AA517" s="7"/>
      <c r="AB517" s="7"/>
      <c r="AC517" s="7"/>
      <c r="AD517" s="7"/>
      <c r="AE517" s="7"/>
      <c r="AF517" s="7"/>
      <c r="AG517" s="7"/>
      <c r="AH517" s="7"/>
      <c r="AI517" s="7"/>
      <c r="AJ517" s="7"/>
      <c r="AK517" s="7"/>
      <c r="AL517" s="7"/>
    </row>
    <row r="518" spans="5:38" ht="15" x14ac:dyDescent="0.25">
      <c r="E518">
        <v>31727</v>
      </c>
      <c r="V518" s="7"/>
      <c r="W518" s="7"/>
      <c r="X518" s="7"/>
      <c r="Y518" s="7"/>
      <c r="Z518" s="7"/>
      <c r="AA518" s="7"/>
      <c r="AB518" s="7"/>
      <c r="AC518" s="7"/>
      <c r="AD518" s="7"/>
      <c r="AE518" s="7"/>
      <c r="AF518" s="7"/>
      <c r="AG518" s="7"/>
      <c r="AH518" s="7"/>
      <c r="AI518" s="7"/>
      <c r="AJ518" s="7"/>
      <c r="AK518" s="7"/>
      <c r="AL518" s="7"/>
    </row>
    <row r="519" spans="5:38" ht="15" x14ac:dyDescent="0.25">
      <c r="E519">
        <v>31725</v>
      </c>
      <c r="V519" s="7"/>
      <c r="W519" s="7"/>
      <c r="X519" s="7"/>
      <c r="Y519" s="7"/>
      <c r="Z519" s="7"/>
      <c r="AA519" s="7"/>
      <c r="AB519" s="7"/>
      <c r="AC519" s="7"/>
      <c r="AD519" s="7"/>
      <c r="AE519" s="7"/>
      <c r="AF519" s="7"/>
      <c r="AG519" s="7"/>
      <c r="AH519" s="7"/>
      <c r="AI519" s="7"/>
      <c r="AJ519" s="7"/>
      <c r="AK519" s="7"/>
      <c r="AL519" s="7"/>
    </row>
    <row r="520" spans="5:38" ht="15" x14ac:dyDescent="0.25">
      <c r="E520">
        <v>31431</v>
      </c>
      <c r="V520" s="7"/>
      <c r="W520" s="7"/>
      <c r="X520" s="7"/>
      <c r="Y520" s="7"/>
      <c r="Z520" s="7"/>
      <c r="AA520" s="7"/>
      <c r="AB520" s="7"/>
      <c r="AC520" s="7"/>
      <c r="AD520" s="7"/>
      <c r="AE520" s="7"/>
      <c r="AF520" s="7"/>
      <c r="AG520" s="7"/>
      <c r="AH520" s="7"/>
      <c r="AI520" s="7"/>
      <c r="AJ520" s="7"/>
      <c r="AK520" s="7"/>
      <c r="AL520" s="7"/>
    </row>
    <row r="521" spans="5:38" ht="15" x14ac:dyDescent="0.25">
      <c r="E521">
        <v>31615</v>
      </c>
      <c r="V521" s="7"/>
      <c r="W521" s="7"/>
      <c r="X521" s="7"/>
      <c r="Y521" s="7"/>
      <c r="Z521" s="7"/>
      <c r="AA521" s="7"/>
      <c r="AB521" s="7"/>
      <c r="AC521" s="7"/>
      <c r="AD521" s="7"/>
      <c r="AE521" s="7"/>
      <c r="AF521" s="7"/>
      <c r="AG521" s="7"/>
      <c r="AH521" s="7"/>
      <c r="AI521" s="7"/>
      <c r="AJ521" s="7"/>
      <c r="AK521" s="7"/>
      <c r="AL521" s="7"/>
    </row>
    <row r="522" spans="5:38" ht="15" x14ac:dyDescent="0.25">
      <c r="E522">
        <v>31430</v>
      </c>
      <c r="V522" s="7"/>
      <c r="W522" s="7"/>
      <c r="X522" s="7"/>
      <c r="Y522" s="7"/>
      <c r="Z522" s="7"/>
      <c r="AA522" s="7"/>
      <c r="AB522" s="7"/>
      <c r="AC522" s="7"/>
      <c r="AD522" s="7"/>
      <c r="AE522" s="7"/>
      <c r="AF522" s="7"/>
      <c r="AG522" s="7"/>
      <c r="AH522" s="7"/>
      <c r="AI522" s="7"/>
      <c r="AJ522" s="7"/>
      <c r="AK522" s="7"/>
      <c r="AL522" s="7"/>
    </row>
    <row r="523" spans="5:38" ht="15" x14ac:dyDescent="0.25">
      <c r="E523">
        <v>31614</v>
      </c>
      <c r="V523" s="7"/>
      <c r="W523" s="7"/>
      <c r="X523" s="7"/>
      <c r="Y523" s="7"/>
      <c r="Z523" s="7"/>
      <c r="AA523" s="7"/>
      <c r="AB523" s="7"/>
      <c r="AC523" s="7"/>
      <c r="AD523" s="7"/>
      <c r="AE523" s="7"/>
      <c r="AF523" s="7"/>
      <c r="AG523" s="7"/>
      <c r="AH523" s="7"/>
      <c r="AI523" s="7"/>
      <c r="AJ523" s="7"/>
      <c r="AK523" s="7"/>
      <c r="AL523" s="7"/>
    </row>
    <row r="524" spans="5:38" ht="15" x14ac:dyDescent="0.25">
      <c r="E524">
        <v>31420</v>
      </c>
      <c r="V524" s="7"/>
      <c r="W524" s="7"/>
      <c r="X524" s="7"/>
      <c r="Y524" s="7"/>
      <c r="Z524" s="7"/>
      <c r="AA524" s="7"/>
      <c r="AB524" s="7"/>
      <c r="AC524" s="7"/>
      <c r="AD524" s="7"/>
      <c r="AE524" s="7"/>
      <c r="AF524" s="7"/>
      <c r="AG524" s="7"/>
      <c r="AH524" s="7"/>
      <c r="AI524" s="7"/>
      <c r="AJ524" s="7"/>
      <c r="AK524" s="7"/>
      <c r="AL524" s="7"/>
    </row>
    <row r="525" spans="5:38" ht="15" x14ac:dyDescent="0.25">
      <c r="E525">
        <v>31427</v>
      </c>
      <c r="V525" s="7"/>
      <c r="W525" s="7"/>
      <c r="X525" s="7"/>
      <c r="Y525" s="7"/>
      <c r="Z525" s="7"/>
      <c r="AA525" s="7"/>
      <c r="AB525" s="7"/>
      <c r="AC525" s="7"/>
      <c r="AD525" s="7"/>
      <c r="AE525" s="7"/>
      <c r="AF525" s="7"/>
      <c r="AG525" s="7"/>
      <c r="AH525" s="7"/>
      <c r="AI525" s="7"/>
      <c r="AJ525" s="7"/>
      <c r="AK525" s="7"/>
      <c r="AL525" s="7"/>
    </row>
    <row r="526" spans="5:38" ht="15" x14ac:dyDescent="0.25">
      <c r="E526">
        <v>31817</v>
      </c>
      <c r="V526" s="7"/>
      <c r="W526" s="7"/>
      <c r="X526" s="7"/>
      <c r="Y526" s="7"/>
      <c r="Z526" s="7"/>
      <c r="AA526" s="7"/>
      <c r="AB526" s="7"/>
      <c r="AC526" s="7"/>
      <c r="AD526" s="7"/>
      <c r="AE526" s="7"/>
      <c r="AF526" s="7"/>
      <c r="AG526" s="7"/>
      <c r="AH526" s="7"/>
      <c r="AI526" s="7"/>
      <c r="AJ526" s="7"/>
      <c r="AK526" s="7"/>
      <c r="AL526" s="7"/>
    </row>
    <row r="527" spans="5:38" ht="15" x14ac:dyDescent="0.25">
      <c r="E527">
        <v>31819</v>
      </c>
      <c r="V527" s="7"/>
      <c r="W527" s="7"/>
      <c r="X527" s="7"/>
      <c r="Y527" s="7"/>
      <c r="Z527" s="7"/>
      <c r="AA527" s="7"/>
      <c r="AB527" s="7"/>
      <c r="AC527" s="7"/>
      <c r="AD527" s="7"/>
      <c r="AE527" s="7"/>
      <c r="AF527" s="7"/>
      <c r="AG527" s="7"/>
      <c r="AH527" s="7"/>
      <c r="AI527" s="7"/>
      <c r="AJ527" s="7"/>
      <c r="AK527" s="7"/>
      <c r="AL527" s="7"/>
    </row>
    <row r="528" spans="5:38" ht="15" x14ac:dyDescent="0.25">
      <c r="E528">
        <v>31515</v>
      </c>
      <c r="V528" s="7"/>
      <c r="W528" s="7"/>
      <c r="X528" s="7"/>
      <c r="Y528" s="7"/>
      <c r="Z528" s="7"/>
      <c r="AA528" s="7"/>
      <c r="AB528" s="7"/>
      <c r="AC528" s="7"/>
      <c r="AD528" s="7"/>
      <c r="AE528" s="7"/>
      <c r="AF528" s="7"/>
      <c r="AG528" s="7"/>
      <c r="AH528" s="7"/>
      <c r="AI528" s="7"/>
      <c r="AJ528" s="7"/>
      <c r="AK528" s="7"/>
      <c r="AL528" s="7"/>
    </row>
    <row r="529" spans="5:38" ht="15" x14ac:dyDescent="0.25">
      <c r="E529">
        <v>31432</v>
      </c>
      <c r="V529" s="7"/>
      <c r="W529" s="7"/>
      <c r="X529" s="7"/>
      <c r="Y529" s="7"/>
      <c r="Z529" s="7"/>
      <c r="AA529" s="7"/>
      <c r="AB529" s="7"/>
      <c r="AC529" s="7"/>
      <c r="AD529" s="7"/>
      <c r="AE529" s="7"/>
      <c r="AF529" s="7"/>
      <c r="AG529" s="7"/>
      <c r="AH529" s="7"/>
      <c r="AI529" s="7"/>
      <c r="AJ529" s="7"/>
      <c r="AK529" s="7"/>
      <c r="AL529" s="7"/>
    </row>
    <row r="530" spans="5:38" ht="15" x14ac:dyDescent="0.25">
      <c r="E530">
        <v>31414</v>
      </c>
      <c r="V530" s="7"/>
      <c r="W530" s="7"/>
      <c r="X530" s="7"/>
      <c r="Y530" s="7"/>
      <c r="Z530" s="7"/>
      <c r="AA530" s="7"/>
      <c r="AB530" s="7"/>
      <c r="AC530" s="7"/>
      <c r="AD530" s="7"/>
      <c r="AE530" s="7"/>
      <c r="AF530" s="7"/>
      <c r="AG530" s="7"/>
      <c r="AH530" s="7"/>
      <c r="AI530" s="7"/>
      <c r="AJ530" s="7"/>
      <c r="AK530" s="7"/>
      <c r="AL530" s="7"/>
    </row>
    <row r="531" spans="5:38" ht="15" x14ac:dyDescent="0.25">
      <c r="E531">
        <v>31417</v>
      </c>
      <c r="V531" s="7"/>
      <c r="W531" s="7"/>
      <c r="X531" s="7"/>
      <c r="Y531" s="7"/>
      <c r="Z531" s="7"/>
      <c r="AA531" s="7"/>
      <c r="AB531" s="7"/>
      <c r="AC531" s="7"/>
      <c r="AD531" s="7"/>
      <c r="AE531" s="7"/>
      <c r="AF531" s="7"/>
      <c r="AG531" s="7"/>
      <c r="AH531" s="7"/>
      <c r="AI531" s="7"/>
      <c r="AJ531" s="7"/>
      <c r="AK531" s="7"/>
      <c r="AL531" s="7"/>
    </row>
    <row r="532" spans="5:38" ht="15" x14ac:dyDescent="0.25">
      <c r="E532">
        <v>31821</v>
      </c>
      <c r="V532" s="7"/>
      <c r="W532" s="7"/>
      <c r="X532" s="7"/>
      <c r="Y532" s="7"/>
      <c r="Z532" s="7"/>
      <c r="AA532" s="7"/>
      <c r="AB532" s="7"/>
      <c r="AC532" s="7"/>
      <c r="AD532" s="7"/>
      <c r="AE532" s="7"/>
      <c r="AF532" s="7"/>
      <c r="AG532" s="7"/>
      <c r="AH532" s="7"/>
      <c r="AI532" s="7"/>
      <c r="AJ532" s="7"/>
      <c r="AK532" s="7"/>
      <c r="AL532" s="7"/>
    </row>
    <row r="533" spans="5:38" ht="15" x14ac:dyDescent="0.25">
      <c r="E533">
        <v>31824</v>
      </c>
      <c r="V533" s="7"/>
      <c r="W533" s="7"/>
      <c r="X533" s="7"/>
      <c r="Y533" s="7"/>
      <c r="Z533" s="7"/>
      <c r="AA533" s="7"/>
      <c r="AB533" s="7"/>
      <c r="AC533" s="7"/>
      <c r="AD533" s="7"/>
      <c r="AE533" s="7"/>
      <c r="AF533" s="7"/>
      <c r="AG533" s="7"/>
      <c r="AH533" s="7"/>
      <c r="AI533" s="7"/>
      <c r="AJ533" s="7"/>
      <c r="AK533" s="7"/>
      <c r="AL533" s="7"/>
    </row>
    <row r="534" spans="5:38" ht="15" x14ac:dyDescent="0.25">
      <c r="E534">
        <v>31429</v>
      </c>
      <c r="V534" s="7"/>
      <c r="W534" s="7"/>
      <c r="X534" s="7"/>
      <c r="Y534" s="7"/>
      <c r="Z534" s="7"/>
      <c r="AA534" s="7"/>
      <c r="AB534" s="7"/>
      <c r="AC534" s="7"/>
      <c r="AD534" s="7"/>
      <c r="AE534" s="7"/>
      <c r="AF534" s="7"/>
      <c r="AG534" s="7"/>
      <c r="AH534" s="7"/>
      <c r="AI534" s="7"/>
      <c r="AJ534" s="7"/>
      <c r="AK534" s="7"/>
      <c r="AL534" s="7"/>
    </row>
    <row r="535" spans="5:38" ht="15" x14ac:dyDescent="0.25">
      <c r="E535">
        <v>31743</v>
      </c>
      <c r="V535" s="7"/>
      <c r="W535" s="7"/>
      <c r="X535" s="7"/>
      <c r="Y535" s="7"/>
      <c r="Z535" s="7"/>
      <c r="AA535" s="7"/>
      <c r="AB535" s="7"/>
      <c r="AC535" s="7"/>
      <c r="AD535" s="7"/>
      <c r="AE535" s="7"/>
      <c r="AF535" s="7"/>
      <c r="AG535" s="7"/>
      <c r="AH535" s="7"/>
      <c r="AI535" s="7"/>
      <c r="AJ535" s="7"/>
      <c r="AK535" s="7"/>
      <c r="AL535" s="7"/>
    </row>
    <row r="536" spans="5:38" ht="15" x14ac:dyDescent="0.25">
      <c r="E536">
        <v>31826</v>
      </c>
      <c r="V536" s="7"/>
      <c r="W536" s="7"/>
      <c r="X536" s="7"/>
      <c r="Y536" s="7"/>
      <c r="Z536" s="7"/>
      <c r="AA536" s="7"/>
      <c r="AB536" s="7"/>
      <c r="AC536" s="7"/>
      <c r="AD536" s="7"/>
      <c r="AE536" s="7"/>
      <c r="AF536" s="7"/>
      <c r="AG536" s="7"/>
      <c r="AH536" s="7"/>
      <c r="AI536" s="7"/>
      <c r="AJ536" s="7"/>
      <c r="AK536" s="7"/>
      <c r="AL536" s="7"/>
    </row>
    <row r="537" spans="5:38" ht="15" x14ac:dyDescent="0.25">
      <c r="E537">
        <v>31519</v>
      </c>
      <c r="V537" s="7"/>
      <c r="W537" s="7"/>
      <c r="X537" s="7"/>
      <c r="Y537" s="7"/>
      <c r="Z537" s="7"/>
      <c r="AA537" s="7"/>
      <c r="AB537" s="7"/>
      <c r="AC537" s="7"/>
      <c r="AD537" s="7"/>
      <c r="AE537" s="7"/>
      <c r="AF537" s="7"/>
      <c r="AG537" s="7"/>
      <c r="AH537" s="7"/>
      <c r="AI537" s="7"/>
      <c r="AJ537" s="7"/>
      <c r="AK537" s="7"/>
      <c r="AL537" s="7"/>
    </row>
    <row r="538" spans="5:38" ht="15" x14ac:dyDescent="0.25">
      <c r="E538">
        <v>31823</v>
      </c>
      <c r="V538" s="7"/>
      <c r="W538" s="7"/>
      <c r="X538" s="7"/>
      <c r="Y538" s="7"/>
      <c r="Z538" s="7"/>
      <c r="AA538" s="7"/>
      <c r="AB538" s="7"/>
      <c r="AC538" s="7"/>
      <c r="AD538" s="7"/>
      <c r="AE538" s="7"/>
      <c r="AF538" s="7"/>
      <c r="AG538" s="7"/>
      <c r="AH538" s="7"/>
      <c r="AI538" s="7"/>
      <c r="AJ538" s="7"/>
      <c r="AK538" s="7"/>
      <c r="AL538" s="7"/>
    </row>
    <row r="539" spans="5:38" ht="15" x14ac:dyDescent="0.25">
      <c r="E539">
        <v>31418</v>
      </c>
      <c r="V539" s="7"/>
      <c r="W539" s="7"/>
      <c r="X539" s="7"/>
      <c r="Y539" s="7"/>
      <c r="Z539" s="7"/>
      <c r="AA539" s="7"/>
      <c r="AB539" s="7"/>
      <c r="AC539" s="7"/>
      <c r="AD539" s="7"/>
      <c r="AE539" s="7"/>
      <c r="AF539" s="7"/>
      <c r="AG539" s="7"/>
      <c r="AH539" s="7"/>
      <c r="AI539" s="7"/>
      <c r="AJ539" s="7"/>
      <c r="AK539" s="7"/>
      <c r="AL539" s="7"/>
    </row>
    <row r="540" spans="5:38" ht="15" x14ac:dyDescent="0.25">
      <c r="E540">
        <v>31809</v>
      </c>
      <c r="V540" s="7"/>
      <c r="W540" s="7"/>
      <c r="X540" s="7"/>
      <c r="Y540" s="7"/>
      <c r="Z540" s="7"/>
      <c r="AA540" s="7"/>
      <c r="AB540" s="7"/>
      <c r="AC540" s="7"/>
      <c r="AD540" s="7"/>
      <c r="AE540" s="7"/>
      <c r="AF540" s="7"/>
      <c r="AG540" s="7"/>
      <c r="AH540" s="7"/>
      <c r="AI540" s="7"/>
      <c r="AJ540" s="7"/>
      <c r="AK540" s="7"/>
      <c r="AL540" s="7"/>
    </row>
    <row r="541" spans="5:38" ht="15" x14ac:dyDescent="0.25">
      <c r="E541">
        <v>31708</v>
      </c>
      <c r="V541" s="7"/>
      <c r="W541" s="7"/>
      <c r="X541" s="7"/>
      <c r="Y541" s="7"/>
      <c r="Z541" s="7"/>
      <c r="AA541" s="7"/>
      <c r="AB541" s="7"/>
      <c r="AC541" s="7"/>
      <c r="AD541" s="7"/>
      <c r="AE541" s="7"/>
      <c r="AF541" s="7"/>
      <c r="AG541" s="7"/>
      <c r="AH541" s="7"/>
      <c r="AI541" s="7"/>
      <c r="AJ541" s="7"/>
      <c r="AK541" s="7"/>
      <c r="AL541" s="7"/>
    </row>
    <row r="542" spans="5:38" ht="15" x14ac:dyDescent="0.25">
      <c r="E542">
        <v>31520</v>
      </c>
      <c r="V542" s="7"/>
      <c r="W542" s="7"/>
      <c r="X542" s="7"/>
      <c r="Y542" s="7"/>
      <c r="Z542" s="7"/>
      <c r="AA542" s="7"/>
      <c r="AB542" s="7"/>
      <c r="AC542" s="7"/>
      <c r="AD542" s="7"/>
      <c r="AE542" s="7"/>
      <c r="AF542" s="7"/>
      <c r="AG542" s="7"/>
      <c r="AH542" s="7"/>
      <c r="AI542" s="7"/>
      <c r="AJ542" s="7"/>
      <c r="AK542" s="7"/>
      <c r="AL542" s="7"/>
    </row>
    <row r="543" spans="5:38" ht="15" x14ac:dyDescent="0.25">
      <c r="E543">
        <v>31726</v>
      </c>
      <c r="V543" s="7"/>
      <c r="W543" s="7"/>
      <c r="X543" s="7"/>
      <c r="Y543" s="7"/>
      <c r="Z543" s="7"/>
      <c r="AA543" s="7"/>
      <c r="AB543" s="7"/>
      <c r="AC543" s="7"/>
      <c r="AD543" s="7"/>
      <c r="AE543" s="7"/>
      <c r="AF543" s="7"/>
      <c r="AG543" s="7"/>
      <c r="AH543" s="7"/>
      <c r="AI543" s="7"/>
      <c r="AJ543" s="7"/>
      <c r="AK543" s="7"/>
      <c r="AL543" s="7"/>
    </row>
    <row r="544" spans="5:38" ht="15" x14ac:dyDescent="0.25">
      <c r="E544">
        <v>31632</v>
      </c>
      <c r="V544" s="7"/>
      <c r="W544" s="7"/>
      <c r="X544" s="7"/>
      <c r="Y544" s="7"/>
      <c r="Z544" s="7"/>
      <c r="AA544" s="7"/>
      <c r="AB544" s="7"/>
      <c r="AC544" s="7"/>
      <c r="AD544" s="7"/>
      <c r="AE544" s="7"/>
      <c r="AF544" s="7"/>
      <c r="AG544" s="7"/>
      <c r="AH544" s="7"/>
      <c r="AI544" s="7"/>
      <c r="AJ544" s="7"/>
      <c r="AK544" s="7"/>
      <c r="AL544" s="7"/>
    </row>
    <row r="545" spans="5:38" ht="15" x14ac:dyDescent="0.25">
      <c r="E545">
        <v>31521</v>
      </c>
      <c r="V545" s="7"/>
      <c r="W545" s="7"/>
      <c r="X545" s="7"/>
      <c r="Y545" s="7"/>
      <c r="Z545" s="7"/>
      <c r="AA545" s="7"/>
      <c r="AB545" s="7"/>
      <c r="AC545" s="7"/>
      <c r="AD545" s="7"/>
      <c r="AE545" s="7"/>
      <c r="AF545" s="7"/>
      <c r="AG545" s="7"/>
      <c r="AH545" s="7"/>
      <c r="AI545" s="7"/>
      <c r="AJ545" s="7"/>
      <c r="AK545" s="7"/>
      <c r="AL545" s="7"/>
    </row>
    <row r="546" spans="5:38" ht="15" x14ac:dyDescent="0.25">
      <c r="E546">
        <v>31616</v>
      </c>
      <c r="V546" s="7"/>
      <c r="W546" s="7"/>
      <c r="X546" s="7"/>
      <c r="Y546" s="7"/>
      <c r="Z546" s="7"/>
      <c r="AA546" s="7"/>
      <c r="AB546" s="7"/>
      <c r="AC546" s="7"/>
      <c r="AD546" s="7"/>
      <c r="AE546" s="7"/>
      <c r="AF546" s="7"/>
      <c r="AG546" s="7"/>
      <c r="AH546" s="7"/>
      <c r="AI546" s="7"/>
      <c r="AJ546" s="7"/>
      <c r="AK546" s="7"/>
      <c r="AL546" s="7"/>
    </row>
    <row r="547" spans="5:38" ht="15" x14ac:dyDescent="0.25">
      <c r="E547">
        <v>31426</v>
      </c>
      <c r="V547" s="7"/>
      <c r="W547" s="7"/>
      <c r="X547" s="7"/>
      <c r="Y547" s="7"/>
      <c r="Z547" s="7"/>
      <c r="AA547" s="7"/>
      <c r="AB547" s="7"/>
      <c r="AC547" s="7"/>
      <c r="AD547" s="7"/>
      <c r="AE547" s="7"/>
      <c r="AF547" s="7"/>
      <c r="AG547" s="7"/>
      <c r="AH547" s="7"/>
      <c r="AI547" s="7"/>
      <c r="AJ547" s="7"/>
      <c r="AK547" s="7"/>
      <c r="AL547" s="7"/>
    </row>
    <row r="548" spans="5:38" ht="15" x14ac:dyDescent="0.25">
      <c r="E548">
        <v>31825</v>
      </c>
      <c r="V548" s="7"/>
      <c r="W548" s="7"/>
      <c r="X548" s="7"/>
      <c r="Y548" s="7"/>
      <c r="Z548" s="7"/>
      <c r="AA548" s="7"/>
      <c r="AB548" s="7"/>
      <c r="AC548" s="7"/>
      <c r="AD548" s="7"/>
      <c r="AE548" s="7"/>
      <c r="AF548" s="7"/>
      <c r="AG548" s="7"/>
      <c r="AH548" s="7"/>
      <c r="AI548" s="7"/>
      <c r="AJ548" s="7"/>
      <c r="AK548" s="7"/>
      <c r="AL548" s="7"/>
    </row>
    <row r="549" spans="5:38" ht="15" x14ac:dyDescent="0.25">
      <c r="E549">
        <v>31709</v>
      </c>
      <c r="V549" s="7"/>
      <c r="W549" s="7"/>
      <c r="X549" s="7"/>
      <c r="Y549" s="7"/>
      <c r="Z549" s="7"/>
      <c r="AA549" s="7"/>
      <c r="AB549" s="7"/>
      <c r="AC549" s="7"/>
      <c r="AD549" s="7"/>
      <c r="AE549" s="7"/>
      <c r="AF549" s="7"/>
      <c r="AG549" s="7"/>
      <c r="AH549" s="7"/>
      <c r="AI549" s="7"/>
      <c r="AJ549" s="7"/>
      <c r="AK549" s="7"/>
      <c r="AL549" s="7"/>
    </row>
    <row r="550" spans="5:38" ht="15" x14ac:dyDescent="0.25">
      <c r="E550">
        <v>31712</v>
      </c>
      <c r="V550" s="7"/>
      <c r="W550" s="7"/>
      <c r="X550" s="7"/>
      <c r="Y550" s="7"/>
      <c r="Z550" s="7"/>
      <c r="AA550" s="7"/>
      <c r="AB550" s="7"/>
      <c r="AC550" s="7"/>
      <c r="AD550" s="7"/>
      <c r="AE550" s="7"/>
      <c r="AF550" s="7"/>
      <c r="AG550" s="7"/>
      <c r="AH550" s="7"/>
      <c r="AI550" s="7"/>
      <c r="AJ550" s="7"/>
      <c r="AK550" s="7"/>
      <c r="AL550" s="7"/>
    </row>
    <row r="551" spans="5:38" ht="15" x14ac:dyDescent="0.25">
      <c r="E551">
        <v>31748</v>
      </c>
      <c r="V551" s="7"/>
      <c r="W551" s="7"/>
      <c r="X551" s="7"/>
      <c r="Y551" s="7"/>
      <c r="Z551" s="7"/>
      <c r="AA551" s="7"/>
      <c r="AB551" s="7"/>
      <c r="AC551" s="7"/>
      <c r="AD551" s="7"/>
      <c r="AE551" s="7"/>
      <c r="AF551" s="7"/>
      <c r="AG551" s="7"/>
      <c r="AH551" s="7"/>
      <c r="AI551" s="7"/>
      <c r="AJ551" s="7"/>
      <c r="AK551" s="7"/>
      <c r="AL551" s="7"/>
    </row>
    <row r="552" spans="5:38" ht="15" x14ac:dyDescent="0.25">
      <c r="E552">
        <v>31618</v>
      </c>
      <c r="V552" s="7"/>
      <c r="W552" s="7"/>
      <c r="X552" s="7"/>
      <c r="Y552" s="7"/>
      <c r="Z552" s="7"/>
      <c r="AA552" s="7"/>
      <c r="AB552" s="7"/>
      <c r="AC552" s="7"/>
      <c r="AD552" s="7"/>
      <c r="AE552" s="7"/>
      <c r="AF552" s="7"/>
      <c r="AG552" s="7"/>
      <c r="AH552" s="7"/>
      <c r="AI552" s="7"/>
      <c r="AJ552" s="7"/>
      <c r="AK552" s="7"/>
      <c r="AL552" s="7"/>
    </row>
    <row r="553" spans="5:38" ht="15" x14ac:dyDescent="0.25">
      <c r="E553">
        <v>31810</v>
      </c>
      <c r="V553" s="7"/>
      <c r="W553" s="7"/>
      <c r="X553" s="7"/>
      <c r="Y553" s="7"/>
      <c r="Z553" s="7"/>
      <c r="AA553" s="7"/>
      <c r="AB553" s="7"/>
      <c r="AC553" s="7"/>
      <c r="AD553" s="7"/>
      <c r="AE553" s="7"/>
      <c r="AF553" s="7"/>
      <c r="AG553" s="7"/>
      <c r="AH553" s="7"/>
      <c r="AI553" s="7"/>
      <c r="AJ553" s="7"/>
      <c r="AK553" s="7"/>
      <c r="AL553" s="7"/>
    </row>
    <row r="554" spans="5:38" ht="15" x14ac:dyDescent="0.25">
      <c r="E554">
        <v>31419</v>
      </c>
      <c r="V554" s="7"/>
      <c r="W554" s="7"/>
      <c r="X554" s="7"/>
      <c r="Y554" s="7"/>
      <c r="Z554" s="7"/>
      <c r="AA554" s="7"/>
      <c r="AB554" s="7"/>
      <c r="AC554" s="7"/>
      <c r="AD554" s="7"/>
      <c r="AE554" s="7"/>
      <c r="AF554" s="7"/>
      <c r="AG554" s="7"/>
      <c r="AH554" s="7"/>
      <c r="AI554" s="7"/>
      <c r="AJ554" s="7"/>
      <c r="AK554" s="7"/>
      <c r="AL554" s="7"/>
    </row>
    <row r="555" spans="5:38" ht="15" x14ac:dyDescent="0.25">
      <c r="E555">
        <v>31445</v>
      </c>
      <c r="V555" s="7"/>
      <c r="W555" s="7"/>
      <c r="X555" s="7"/>
      <c r="Y555" s="7"/>
      <c r="Z555" s="7"/>
      <c r="AA555" s="7"/>
      <c r="AB555" s="7"/>
      <c r="AC555" s="7"/>
      <c r="AD555" s="7"/>
      <c r="AE555" s="7"/>
      <c r="AF555" s="7"/>
      <c r="AG555" s="7"/>
      <c r="AH555" s="7"/>
      <c r="AI555" s="7"/>
      <c r="AJ555" s="7"/>
      <c r="AK555" s="7"/>
      <c r="AL555" s="7"/>
    </row>
    <row r="556" spans="5:38" ht="15" x14ac:dyDescent="0.25">
      <c r="E556">
        <v>31746</v>
      </c>
      <c r="V556" s="7"/>
      <c r="W556" s="7"/>
      <c r="X556" s="7"/>
      <c r="Y556" s="7"/>
      <c r="Z556" s="7"/>
      <c r="AA556" s="7"/>
      <c r="AB556" s="7"/>
      <c r="AC556" s="7"/>
      <c r="AD556" s="7"/>
      <c r="AE556" s="7"/>
      <c r="AF556" s="7"/>
      <c r="AG556" s="7"/>
      <c r="AH556" s="7"/>
      <c r="AI556" s="7"/>
      <c r="AJ556" s="7"/>
      <c r="AK556" s="7"/>
      <c r="AL556" s="7"/>
    </row>
    <row r="557" spans="5:38" ht="15" x14ac:dyDescent="0.25">
      <c r="E557">
        <v>31446</v>
      </c>
      <c r="V557" s="7"/>
      <c r="W557" s="7"/>
      <c r="X557" s="7"/>
      <c r="Y557" s="7"/>
      <c r="Z557" s="7"/>
      <c r="AA557" s="7"/>
      <c r="AB557" s="7"/>
      <c r="AC557" s="7"/>
      <c r="AD557" s="7"/>
      <c r="AE557" s="7"/>
      <c r="AF557" s="7"/>
      <c r="AG557" s="7"/>
      <c r="AH557" s="7"/>
      <c r="AI557" s="7"/>
      <c r="AJ557" s="7"/>
      <c r="AK557" s="7"/>
      <c r="AL557" s="7"/>
    </row>
    <row r="558" spans="5:38" ht="15" x14ac:dyDescent="0.25">
      <c r="E558">
        <v>31436</v>
      </c>
      <c r="V558" s="7"/>
      <c r="W558" s="7"/>
      <c r="X558" s="7"/>
      <c r="Y558" s="7"/>
      <c r="Z558" s="7"/>
      <c r="AA558" s="7"/>
      <c r="AB558" s="7"/>
      <c r="AC558" s="7"/>
      <c r="AD558" s="7"/>
      <c r="AE558" s="7"/>
      <c r="AF558" s="7"/>
      <c r="AG558" s="7"/>
      <c r="AH558" s="7"/>
      <c r="AI558" s="7"/>
      <c r="AJ558" s="7"/>
      <c r="AK558" s="7"/>
      <c r="AL558" s="7"/>
    </row>
    <row r="559" spans="5:38" ht="15" x14ac:dyDescent="0.25">
      <c r="E559">
        <v>31534</v>
      </c>
      <c r="V559" s="7"/>
      <c r="W559" s="7"/>
      <c r="X559" s="7"/>
      <c r="Y559" s="7"/>
      <c r="Z559" s="7"/>
      <c r="AA559" s="7"/>
      <c r="AB559" s="7"/>
      <c r="AC559" s="7"/>
      <c r="AD559" s="7"/>
      <c r="AE559" s="7"/>
      <c r="AF559" s="7"/>
      <c r="AG559" s="7"/>
      <c r="AH559" s="7"/>
      <c r="AI559" s="7"/>
      <c r="AJ559" s="7"/>
      <c r="AK559" s="7"/>
      <c r="AL559" s="7"/>
    </row>
    <row r="560" spans="5:38" ht="15" x14ac:dyDescent="0.25">
      <c r="E560">
        <v>31747</v>
      </c>
      <c r="V560" s="7"/>
      <c r="W560" s="7"/>
      <c r="X560" s="7"/>
      <c r="Y560" s="7"/>
      <c r="Z560" s="7"/>
      <c r="AA560" s="7"/>
      <c r="AB560" s="7"/>
      <c r="AC560" s="7"/>
      <c r="AD560" s="7"/>
      <c r="AE560" s="7"/>
      <c r="AF560" s="7"/>
      <c r="AG560" s="7"/>
      <c r="AH560" s="7"/>
      <c r="AI560" s="7"/>
      <c r="AJ560" s="7"/>
      <c r="AK560" s="7"/>
      <c r="AL560" s="7"/>
    </row>
    <row r="561" spans="5:38" ht="15" x14ac:dyDescent="0.25">
      <c r="E561">
        <v>31633</v>
      </c>
      <c r="V561" s="7"/>
      <c r="W561" s="7"/>
      <c r="X561" s="7"/>
      <c r="Y561" s="7"/>
      <c r="Z561" s="7"/>
      <c r="AA561" s="7"/>
      <c r="AB561" s="7"/>
      <c r="AC561" s="7"/>
      <c r="AD561" s="7"/>
      <c r="AE561" s="7"/>
      <c r="AF561" s="7"/>
      <c r="AG561" s="7"/>
      <c r="AH561" s="7"/>
      <c r="AI561" s="7"/>
      <c r="AJ561" s="7"/>
      <c r="AK561" s="7"/>
      <c r="AL561" s="7"/>
    </row>
    <row r="562" spans="5:38" ht="15" x14ac:dyDescent="0.25">
      <c r="E562">
        <v>31731</v>
      </c>
      <c r="V562" s="7"/>
      <c r="W562" s="7"/>
      <c r="X562" s="7"/>
      <c r="Y562" s="7"/>
      <c r="Z562" s="7"/>
      <c r="AA562" s="7"/>
      <c r="AB562" s="7"/>
      <c r="AC562" s="7"/>
      <c r="AD562" s="7"/>
      <c r="AE562" s="7"/>
      <c r="AF562" s="7"/>
      <c r="AG562" s="7"/>
      <c r="AH562" s="7"/>
      <c r="AI562" s="7"/>
      <c r="AJ562" s="7"/>
      <c r="AK562" s="7"/>
      <c r="AL562" s="7"/>
    </row>
    <row r="563" spans="5:38" ht="15" x14ac:dyDescent="0.25">
      <c r="E563">
        <v>31634</v>
      </c>
      <c r="V563" s="7"/>
      <c r="W563" s="7"/>
      <c r="X563" s="7"/>
      <c r="Y563" s="7"/>
      <c r="Z563" s="7"/>
      <c r="AA563" s="7"/>
      <c r="AB563" s="7"/>
      <c r="AC563" s="7"/>
      <c r="AD563" s="7"/>
      <c r="AE563" s="7"/>
      <c r="AF563" s="7"/>
      <c r="AG563" s="7"/>
      <c r="AH563" s="7"/>
      <c r="AI563" s="7"/>
      <c r="AJ563" s="7"/>
      <c r="AK563" s="7"/>
      <c r="AL563" s="7"/>
    </row>
    <row r="564" spans="5:38" ht="15" x14ac:dyDescent="0.25">
      <c r="E564">
        <v>31619</v>
      </c>
      <c r="V564" s="7"/>
      <c r="W564" s="7"/>
      <c r="X564" s="7"/>
      <c r="Y564" s="7"/>
      <c r="Z564" s="7"/>
      <c r="AA564" s="7"/>
      <c r="AB564" s="7"/>
      <c r="AC564" s="7"/>
      <c r="AD564" s="7"/>
      <c r="AE564" s="7"/>
      <c r="AF564" s="7"/>
      <c r="AG564" s="7"/>
      <c r="AH564" s="7"/>
      <c r="AI564" s="7"/>
      <c r="AJ564" s="7"/>
      <c r="AK564" s="7"/>
      <c r="AL564" s="7"/>
    </row>
    <row r="565" spans="5:38" ht="15" x14ac:dyDescent="0.25">
      <c r="E565">
        <v>31532</v>
      </c>
      <c r="V565" s="7"/>
      <c r="W565" s="7"/>
      <c r="X565" s="7"/>
      <c r="Y565" s="7"/>
      <c r="Z565" s="7"/>
      <c r="AA565" s="7"/>
      <c r="AB565" s="7"/>
      <c r="AC565" s="7"/>
      <c r="AD565" s="7"/>
      <c r="AE565" s="7"/>
      <c r="AF565" s="7"/>
      <c r="AG565" s="7"/>
      <c r="AH565" s="7"/>
      <c r="AI565" s="7"/>
      <c r="AJ565" s="7"/>
      <c r="AK565" s="7"/>
      <c r="AL565" s="7"/>
    </row>
    <row r="566" spans="5:38" ht="15" x14ac:dyDescent="0.25">
      <c r="E566">
        <v>31531</v>
      </c>
      <c r="V566" s="7"/>
      <c r="W566" s="7"/>
      <c r="X566" s="7"/>
      <c r="Y566" s="7"/>
      <c r="Z566" s="7"/>
      <c r="AA566" s="7"/>
      <c r="AB566" s="7"/>
      <c r="AC566" s="7"/>
      <c r="AD566" s="7"/>
      <c r="AE566" s="7"/>
      <c r="AF566" s="7"/>
      <c r="AG566" s="7"/>
      <c r="AH566" s="7"/>
      <c r="AI566" s="7"/>
      <c r="AJ566" s="7"/>
      <c r="AK566" s="7"/>
      <c r="AL566" s="7"/>
    </row>
    <row r="567" spans="5:38" ht="15" x14ac:dyDescent="0.25">
      <c r="E567">
        <v>31745</v>
      </c>
      <c r="V567" s="7"/>
      <c r="W567" s="7"/>
      <c r="X567" s="7"/>
      <c r="Y567" s="7"/>
      <c r="Z567" s="7"/>
      <c r="AA567" s="7"/>
      <c r="AB567" s="7"/>
      <c r="AC567" s="7"/>
      <c r="AD567" s="7"/>
      <c r="AE567" s="7"/>
      <c r="AF567" s="7"/>
      <c r="AG567" s="7"/>
      <c r="AH567" s="7"/>
      <c r="AI567" s="7"/>
      <c r="AJ567" s="7"/>
      <c r="AK567" s="7"/>
      <c r="AL567" s="7"/>
    </row>
    <row r="568" spans="5:38" ht="15" x14ac:dyDescent="0.25">
      <c r="E568">
        <v>31749</v>
      </c>
      <c r="V568" s="7"/>
      <c r="W568" s="7"/>
      <c r="X568" s="7"/>
      <c r="Y568" s="7"/>
      <c r="Z568" s="7"/>
      <c r="AA568" s="7"/>
      <c r="AB568" s="7"/>
      <c r="AC568" s="7"/>
      <c r="AD568" s="7"/>
      <c r="AE568" s="7"/>
      <c r="AF568" s="7"/>
      <c r="AG568" s="7"/>
      <c r="AH568" s="7"/>
      <c r="AI568" s="7"/>
      <c r="AJ568" s="7"/>
      <c r="AK568" s="7"/>
      <c r="AL568" s="7"/>
    </row>
    <row r="569" spans="5:38" ht="15" x14ac:dyDescent="0.25">
      <c r="E569">
        <v>31728</v>
      </c>
      <c r="V569" s="7"/>
      <c r="W569" s="7"/>
      <c r="X569" s="7"/>
      <c r="Y569" s="7"/>
      <c r="Z569" s="7"/>
      <c r="AA569" s="7"/>
      <c r="AB569" s="7"/>
      <c r="AC569" s="7"/>
      <c r="AD569" s="7"/>
      <c r="AE569" s="7"/>
      <c r="AF569" s="7"/>
      <c r="AG569" s="7"/>
      <c r="AH569" s="7"/>
      <c r="AI569" s="7"/>
      <c r="AJ569" s="7"/>
      <c r="AK569" s="7"/>
      <c r="AL569" s="7"/>
    </row>
    <row r="570" spans="5:38" ht="15" x14ac:dyDescent="0.25">
      <c r="E570">
        <v>31434</v>
      </c>
      <c r="V570" s="7"/>
      <c r="W570" s="7"/>
      <c r="X570" s="7"/>
      <c r="Y570" s="7"/>
      <c r="Z570" s="7"/>
      <c r="AA570" s="7"/>
      <c r="AB570" s="7"/>
      <c r="AC570" s="7"/>
      <c r="AD570" s="7"/>
      <c r="AE570" s="7"/>
      <c r="AF570" s="7"/>
      <c r="AG570" s="7"/>
      <c r="AH570" s="7"/>
      <c r="AI570" s="7"/>
      <c r="AJ570" s="7"/>
      <c r="AK570" s="7"/>
      <c r="AL570" s="7"/>
    </row>
    <row r="571" spans="5:38" ht="15" x14ac:dyDescent="0.25">
      <c r="E571">
        <v>31523</v>
      </c>
      <c r="V571" s="7"/>
      <c r="W571" s="7"/>
      <c r="X571" s="7"/>
      <c r="Y571" s="7"/>
      <c r="Z571" s="7"/>
      <c r="AA571" s="7"/>
      <c r="AB571" s="7"/>
      <c r="AC571" s="7"/>
      <c r="AD571" s="7"/>
      <c r="AE571" s="7"/>
      <c r="AF571" s="7"/>
      <c r="AG571" s="7"/>
      <c r="AH571" s="7"/>
      <c r="AI571" s="7"/>
      <c r="AJ571" s="7"/>
      <c r="AK571" s="7"/>
      <c r="AL571" s="7"/>
    </row>
    <row r="572" spans="5:38" ht="15" x14ac:dyDescent="0.25">
      <c r="E572">
        <v>31435</v>
      </c>
      <c r="V572" s="7"/>
      <c r="W572" s="7"/>
      <c r="X572" s="7"/>
      <c r="Y572" s="7"/>
      <c r="Z572" s="7"/>
      <c r="AA572" s="7"/>
      <c r="AB572" s="7"/>
      <c r="AC572" s="7"/>
      <c r="AD572" s="7"/>
      <c r="AE572" s="7"/>
      <c r="AF572" s="7"/>
      <c r="AG572" s="7"/>
      <c r="AH572" s="7"/>
      <c r="AI572" s="7"/>
      <c r="AJ572" s="7"/>
      <c r="AK572" s="7"/>
      <c r="AL572" s="7"/>
    </row>
    <row r="573" spans="5:38" ht="15" x14ac:dyDescent="0.25">
      <c r="E573">
        <v>31447</v>
      </c>
      <c r="V573" s="7"/>
      <c r="W573" s="7"/>
      <c r="X573" s="7"/>
      <c r="Y573" s="7"/>
      <c r="Z573" s="7"/>
      <c r="AA573" s="7"/>
      <c r="AB573" s="7"/>
      <c r="AC573" s="7"/>
      <c r="AD573" s="7"/>
      <c r="AE573" s="7"/>
      <c r="AF573" s="7"/>
      <c r="AG573" s="7"/>
      <c r="AH573" s="7"/>
      <c r="AI573" s="7"/>
      <c r="AJ573" s="7"/>
      <c r="AK573" s="7"/>
      <c r="AL573" s="7"/>
    </row>
    <row r="574" spans="5:38" ht="15" x14ac:dyDescent="0.25">
      <c r="E574">
        <v>31622</v>
      </c>
      <c r="V574" s="7"/>
      <c r="W574" s="7"/>
      <c r="X574" s="7"/>
      <c r="Y574" s="7"/>
      <c r="Z574" s="7"/>
      <c r="AA574" s="7"/>
      <c r="AB574" s="7"/>
      <c r="AC574" s="7"/>
      <c r="AD574" s="7"/>
      <c r="AE574" s="7"/>
      <c r="AF574" s="7"/>
      <c r="AG574" s="7"/>
      <c r="AH574" s="7"/>
      <c r="AI574" s="7"/>
      <c r="AJ574" s="7"/>
      <c r="AK574" s="7"/>
      <c r="AL574" s="7"/>
    </row>
    <row r="575" spans="5:38" ht="15" x14ac:dyDescent="0.25">
      <c r="E575">
        <v>31730</v>
      </c>
      <c r="V575" s="7"/>
      <c r="W575" s="7"/>
      <c r="X575" s="7"/>
      <c r="Y575" s="7"/>
      <c r="Z575" s="7"/>
      <c r="AA575" s="7"/>
      <c r="AB575" s="7"/>
      <c r="AC575" s="7"/>
      <c r="AD575" s="7"/>
      <c r="AE575" s="7"/>
      <c r="AF575" s="7"/>
      <c r="AG575" s="7"/>
      <c r="AH575" s="7"/>
      <c r="AI575" s="7"/>
      <c r="AJ575" s="7"/>
      <c r="AK575" s="7"/>
      <c r="AL575" s="7"/>
    </row>
    <row r="576" spans="5:38" ht="15" x14ac:dyDescent="0.25">
      <c r="E576">
        <v>31764</v>
      </c>
      <c r="V576" s="7"/>
      <c r="W576" s="7"/>
      <c r="X576" s="7"/>
      <c r="Y576" s="7"/>
      <c r="Z576" s="7"/>
      <c r="AA576" s="7"/>
      <c r="AB576" s="7"/>
      <c r="AC576" s="7"/>
      <c r="AD576" s="7"/>
      <c r="AE576" s="7"/>
      <c r="AF576" s="7"/>
      <c r="AG576" s="7"/>
      <c r="AH576" s="7"/>
      <c r="AI576" s="7"/>
      <c r="AJ576" s="7"/>
      <c r="AK576" s="7"/>
      <c r="AL576" s="7"/>
    </row>
    <row r="577" spans="5:38" ht="15" x14ac:dyDescent="0.25">
      <c r="E577">
        <v>31718</v>
      </c>
      <c r="V577" s="7"/>
      <c r="W577" s="7"/>
      <c r="X577" s="7"/>
      <c r="Y577" s="7"/>
      <c r="Z577" s="7"/>
      <c r="AA577" s="7"/>
      <c r="AB577" s="7"/>
      <c r="AC577" s="7"/>
      <c r="AD577" s="7"/>
      <c r="AE577" s="7"/>
      <c r="AF577" s="7"/>
      <c r="AG577" s="7"/>
      <c r="AH577" s="7"/>
      <c r="AI577" s="7"/>
      <c r="AJ577" s="7"/>
      <c r="AK577" s="7"/>
      <c r="AL577" s="7"/>
    </row>
    <row r="578" spans="5:38" ht="15" x14ac:dyDescent="0.25">
      <c r="E578">
        <v>31522</v>
      </c>
      <c r="V578" s="7"/>
      <c r="W578" s="7"/>
      <c r="X578" s="7"/>
      <c r="Y578" s="7"/>
      <c r="Z578" s="7"/>
      <c r="AA578" s="7"/>
      <c r="AB578" s="7"/>
      <c r="AC578" s="7"/>
      <c r="AD578" s="7"/>
      <c r="AE578" s="7"/>
      <c r="AF578" s="7"/>
      <c r="AG578" s="7"/>
      <c r="AH578" s="7"/>
      <c r="AI578" s="7"/>
      <c r="AJ578" s="7"/>
      <c r="AK578" s="7"/>
      <c r="AL578" s="7"/>
    </row>
    <row r="579" spans="5:38" ht="15" x14ac:dyDescent="0.25">
      <c r="E579">
        <v>31617</v>
      </c>
      <c r="V579" s="7"/>
      <c r="W579" s="7"/>
      <c r="X579" s="7"/>
      <c r="Y579" s="7"/>
      <c r="Z579" s="7"/>
      <c r="AA579" s="7"/>
      <c r="AB579" s="7"/>
      <c r="AC579" s="7"/>
      <c r="AD579" s="7"/>
      <c r="AE579" s="7"/>
      <c r="AF579" s="7"/>
      <c r="AG579" s="7"/>
      <c r="AH579" s="7"/>
      <c r="AI579" s="7"/>
      <c r="AJ579" s="7"/>
      <c r="AK579" s="7"/>
      <c r="AL579" s="7"/>
    </row>
    <row r="580" spans="5:38" ht="15" x14ac:dyDescent="0.25">
      <c r="E580">
        <v>31713</v>
      </c>
      <c r="V580" s="7"/>
      <c r="W580" s="7"/>
      <c r="X580" s="7"/>
      <c r="Y580" s="7"/>
      <c r="Z580" s="7"/>
      <c r="AA580" s="7"/>
      <c r="AB580" s="7"/>
      <c r="AC580" s="7"/>
      <c r="AD580" s="7"/>
      <c r="AE580" s="7"/>
      <c r="AF580" s="7"/>
      <c r="AG580" s="7"/>
      <c r="AH580" s="7"/>
      <c r="AI580" s="7"/>
      <c r="AJ580" s="7"/>
      <c r="AK580" s="7"/>
      <c r="AL580" s="7"/>
    </row>
    <row r="581" spans="5:38" ht="15" x14ac:dyDescent="0.25">
      <c r="E581">
        <v>31438</v>
      </c>
      <c r="V581" s="7"/>
      <c r="W581" s="7"/>
      <c r="X581" s="7"/>
      <c r="Y581" s="7"/>
      <c r="Z581" s="7"/>
      <c r="AA581" s="7"/>
      <c r="AB581" s="7"/>
      <c r="AC581" s="7"/>
      <c r="AD581" s="7"/>
      <c r="AE581" s="7"/>
      <c r="AF581" s="7"/>
      <c r="AG581" s="7"/>
      <c r="AH581" s="7"/>
      <c r="AI581" s="7"/>
      <c r="AJ581" s="7"/>
      <c r="AK581" s="7"/>
      <c r="AL581" s="7"/>
    </row>
    <row r="582" spans="5:38" ht="15" x14ac:dyDescent="0.25">
      <c r="E582">
        <v>31829</v>
      </c>
      <c r="V582" s="7"/>
      <c r="W582" s="7"/>
      <c r="X582" s="7"/>
      <c r="Y582" s="7"/>
      <c r="Z582" s="7"/>
      <c r="AA582" s="7"/>
      <c r="AB582" s="7"/>
      <c r="AC582" s="7"/>
      <c r="AD582" s="7"/>
      <c r="AE582" s="7"/>
      <c r="AF582" s="7"/>
      <c r="AG582" s="7"/>
      <c r="AH582" s="7"/>
      <c r="AI582" s="7"/>
      <c r="AJ582" s="7"/>
      <c r="AK582" s="7"/>
      <c r="AL582" s="7"/>
    </row>
    <row r="583" spans="5:38" ht="15" x14ac:dyDescent="0.25">
      <c r="E583">
        <v>31530</v>
      </c>
      <c r="V583" s="7"/>
      <c r="W583" s="7"/>
      <c r="X583" s="7"/>
      <c r="Y583" s="7"/>
      <c r="Z583" s="7"/>
      <c r="AA583" s="7"/>
      <c r="AB583" s="7"/>
      <c r="AC583" s="7"/>
      <c r="AD583" s="7"/>
      <c r="AE583" s="7"/>
      <c r="AF583" s="7"/>
      <c r="AG583" s="7"/>
      <c r="AH583" s="7"/>
      <c r="AI583" s="7"/>
      <c r="AJ583" s="7"/>
      <c r="AK583" s="7"/>
      <c r="AL583" s="7"/>
    </row>
    <row r="584" spans="5:38" ht="15" x14ac:dyDescent="0.25">
      <c r="E584">
        <v>31670</v>
      </c>
      <c r="V584" s="7"/>
      <c r="W584" s="7"/>
      <c r="X584" s="7"/>
      <c r="Y584" s="7"/>
      <c r="Z584" s="7"/>
      <c r="AA584" s="7"/>
      <c r="AB584" s="7"/>
      <c r="AC584" s="7"/>
      <c r="AD584" s="7"/>
      <c r="AE584" s="7"/>
      <c r="AF584" s="7"/>
      <c r="AG584" s="7"/>
      <c r="AH584" s="7"/>
      <c r="AI584" s="7"/>
      <c r="AJ584" s="7"/>
      <c r="AK584" s="7"/>
      <c r="AL584" s="7"/>
    </row>
    <row r="585" spans="5:38" ht="15" x14ac:dyDescent="0.25">
      <c r="E585">
        <v>31465</v>
      </c>
      <c r="V585" s="7"/>
      <c r="W585" s="7"/>
      <c r="X585" s="7"/>
      <c r="Y585" s="7"/>
      <c r="Z585" s="7"/>
      <c r="AA585" s="7"/>
      <c r="AB585" s="7"/>
      <c r="AC585" s="7"/>
      <c r="AD585" s="7"/>
      <c r="AE585" s="7"/>
      <c r="AF585" s="7"/>
      <c r="AG585" s="7"/>
      <c r="AH585" s="7"/>
      <c r="AI585" s="7"/>
      <c r="AJ585" s="7"/>
      <c r="AK585" s="7"/>
      <c r="AL585" s="7"/>
    </row>
    <row r="586" spans="5:38" ht="15" x14ac:dyDescent="0.25">
      <c r="E586">
        <v>31623</v>
      </c>
      <c r="V586" s="7"/>
      <c r="W586" s="7"/>
      <c r="X586" s="7"/>
      <c r="Y586" s="7"/>
      <c r="Z586" s="7"/>
      <c r="AA586" s="7"/>
      <c r="AB586" s="7"/>
      <c r="AC586" s="7"/>
      <c r="AD586" s="7"/>
      <c r="AE586" s="7"/>
      <c r="AF586" s="7"/>
      <c r="AG586" s="7"/>
      <c r="AH586" s="7"/>
      <c r="AI586" s="7"/>
      <c r="AJ586" s="7"/>
      <c r="AK586" s="7"/>
      <c r="AL586" s="7"/>
    </row>
    <row r="587" spans="5:38" ht="15" x14ac:dyDescent="0.25">
      <c r="E587">
        <v>31714</v>
      </c>
      <c r="V587" s="7"/>
      <c r="W587" s="7"/>
      <c r="X587" s="7"/>
      <c r="Y587" s="7"/>
      <c r="Z587" s="7"/>
      <c r="AA587" s="7"/>
      <c r="AB587" s="7"/>
      <c r="AC587" s="7"/>
      <c r="AD587" s="7"/>
      <c r="AE587" s="7"/>
      <c r="AF587" s="7"/>
      <c r="AG587" s="7"/>
      <c r="AH587" s="7"/>
      <c r="AI587" s="7"/>
      <c r="AJ587" s="7"/>
      <c r="AK587" s="7"/>
      <c r="AL587" s="7"/>
    </row>
    <row r="588" spans="5:38" ht="15" x14ac:dyDescent="0.25">
      <c r="E588">
        <v>31533</v>
      </c>
      <c r="V588" s="7"/>
      <c r="W588" s="7"/>
      <c r="X588" s="7"/>
      <c r="Y588" s="7"/>
      <c r="Z588" s="7"/>
      <c r="AA588" s="7"/>
      <c r="AB588" s="7"/>
      <c r="AC588" s="7"/>
      <c r="AD588" s="7"/>
      <c r="AE588" s="7"/>
      <c r="AF588" s="7"/>
      <c r="AG588" s="7"/>
      <c r="AH588" s="7"/>
      <c r="AI588" s="7"/>
      <c r="AJ588" s="7"/>
      <c r="AK588" s="7"/>
      <c r="AL588" s="7"/>
    </row>
    <row r="589" spans="5:38" ht="15" x14ac:dyDescent="0.25">
      <c r="E589">
        <v>31525</v>
      </c>
      <c r="V589" s="7"/>
      <c r="W589" s="7"/>
      <c r="X589" s="7"/>
      <c r="Y589" s="7"/>
      <c r="Z589" s="7"/>
      <c r="AA589" s="7"/>
      <c r="AB589" s="7"/>
      <c r="AC589" s="7"/>
      <c r="AD589" s="7"/>
      <c r="AE589" s="7"/>
      <c r="AF589" s="7"/>
      <c r="AG589" s="7"/>
      <c r="AH589" s="7"/>
      <c r="AI589" s="7"/>
      <c r="AJ589" s="7"/>
      <c r="AK589" s="7"/>
      <c r="AL589" s="7"/>
    </row>
    <row r="590" spans="5:38" ht="15" x14ac:dyDescent="0.25">
      <c r="E590">
        <v>31672</v>
      </c>
      <c r="V590" s="7"/>
      <c r="W590" s="7"/>
      <c r="X590" s="7"/>
      <c r="Y590" s="7"/>
      <c r="Z590" s="7"/>
      <c r="AA590" s="7"/>
      <c r="AB590" s="7"/>
      <c r="AC590" s="7"/>
      <c r="AD590" s="7"/>
      <c r="AE590" s="7"/>
      <c r="AF590" s="7"/>
      <c r="AG590" s="7"/>
      <c r="AH590" s="7"/>
      <c r="AI590" s="7"/>
      <c r="AJ590" s="7"/>
      <c r="AK590" s="7"/>
      <c r="AL590" s="7"/>
    </row>
    <row r="591" spans="5:38" ht="15" x14ac:dyDescent="0.25">
      <c r="E591">
        <v>31463</v>
      </c>
      <c r="V591" s="7"/>
      <c r="W591" s="7"/>
      <c r="X591" s="7"/>
      <c r="Y591" s="7"/>
      <c r="Z591" s="7"/>
      <c r="AA591" s="7"/>
      <c r="AB591" s="7"/>
      <c r="AC591" s="7"/>
      <c r="AD591" s="7"/>
      <c r="AE591" s="7"/>
      <c r="AF591" s="7"/>
      <c r="AG591" s="7"/>
      <c r="AH591" s="7"/>
      <c r="AI591" s="7"/>
      <c r="AJ591" s="7"/>
      <c r="AK591" s="7"/>
      <c r="AL591" s="7"/>
    </row>
    <row r="592" spans="5:38" ht="15" x14ac:dyDescent="0.25">
      <c r="E592">
        <v>31729</v>
      </c>
      <c r="V592" s="7"/>
      <c r="W592" s="7"/>
      <c r="X592" s="7"/>
      <c r="Y592" s="7"/>
      <c r="Z592" s="7"/>
      <c r="AA592" s="7"/>
      <c r="AB592" s="7"/>
      <c r="AC592" s="7"/>
      <c r="AD592" s="7"/>
      <c r="AE592" s="7"/>
      <c r="AF592" s="7"/>
      <c r="AG592" s="7"/>
      <c r="AH592" s="7"/>
      <c r="AI592" s="7"/>
      <c r="AJ592" s="7"/>
      <c r="AK592" s="7"/>
      <c r="AL592" s="7"/>
    </row>
    <row r="593" spans="5:38" ht="15" x14ac:dyDescent="0.25">
      <c r="E593">
        <v>31716</v>
      </c>
      <c r="V593" s="7"/>
      <c r="W593" s="7"/>
      <c r="X593" s="7"/>
      <c r="Y593" s="7"/>
      <c r="Z593" s="7"/>
      <c r="AA593" s="7"/>
      <c r="AB593" s="7"/>
      <c r="AC593" s="7"/>
      <c r="AD593" s="7"/>
      <c r="AE593" s="7"/>
      <c r="AF593" s="7"/>
      <c r="AG593" s="7"/>
      <c r="AH593" s="7"/>
      <c r="AI593" s="7"/>
      <c r="AJ593" s="7"/>
      <c r="AK593" s="7"/>
      <c r="AL593" s="7"/>
    </row>
    <row r="594" spans="5:38" ht="15" x14ac:dyDescent="0.25">
      <c r="E594">
        <v>31624</v>
      </c>
      <c r="V594" s="7"/>
      <c r="W594" s="7"/>
      <c r="X594" s="7"/>
      <c r="Y594" s="7"/>
      <c r="Z594" s="7"/>
      <c r="AA594" s="7"/>
      <c r="AB594" s="7"/>
      <c r="AC594" s="7"/>
      <c r="AD594" s="7"/>
      <c r="AE594" s="7"/>
      <c r="AF594" s="7"/>
      <c r="AG594" s="7"/>
      <c r="AH594" s="7"/>
      <c r="AI594" s="7"/>
      <c r="AJ594" s="7"/>
      <c r="AK594" s="7"/>
      <c r="AL594" s="7"/>
    </row>
    <row r="595" spans="5:38" ht="15" x14ac:dyDescent="0.25">
      <c r="E595">
        <v>31471</v>
      </c>
      <c r="V595" s="7"/>
      <c r="W595" s="7"/>
      <c r="X595" s="7"/>
      <c r="Y595" s="7"/>
      <c r="Z595" s="7"/>
      <c r="AA595" s="7"/>
      <c r="AB595" s="7"/>
      <c r="AC595" s="7"/>
      <c r="AD595" s="7"/>
      <c r="AE595" s="7"/>
      <c r="AF595" s="7"/>
      <c r="AG595" s="7"/>
      <c r="AH595" s="7"/>
      <c r="AI595" s="7"/>
      <c r="AJ595" s="7"/>
      <c r="AK595" s="7"/>
      <c r="AL595" s="7"/>
    </row>
    <row r="596" spans="5:38" ht="15" x14ac:dyDescent="0.25">
      <c r="E596">
        <v>31711</v>
      </c>
      <c r="V596" s="7"/>
      <c r="W596" s="7"/>
      <c r="X596" s="7"/>
      <c r="Y596" s="7"/>
      <c r="Z596" s="7"/>
      <c r="AA596" s="7"/>
      <c r="AB596" s="7"/>
      <c r="AC596" s="7"/>
      <c r="AD596" s="7"/>
      <c r="AE596" s="7"/>
      <c r="AF596" s="7"/>
      <c r="AG596" s="7"/>
      <c r="AH596" s="7"/>
      <c r="AI596" s="7"/>
      <c r="AJ596" s="7"/>
      <c r="AK596" s="7"/>
      <c r="AL596" s="7"/>
    </row>
    <row r="597" spans="5:38" ht="15" x14ac:dyDescent="0.25">
      <c r="E597">
        <v>31535</v>
      </c>
      <c r="V597" s="7"/>
      <c r="W597" s="7"/>
      <c r="X597" s="7"/>
      <c r="Y597" s="7"/>
      <c r="Z597" s="7"/>
      <c r="AA597" s="7"/>
      <c r="AB597" s="7"/>
      <c r="AC597" s="7"/>
      <c r="AD597" s="7"/>
      <c r="AE597" s="7"/>
      <c r="AF597" s="7"/>
      <c r="AG597" s="7"/>
      <c r="AH597" s="7"/>
      <c r="AI597" s="7"/>
      <c r="AJ597" s="7"/>
      <c r="AK597" s="7"/>
      <c r="AL597" s="7"/>
    </row>
    <row r="598" spans="5:38" ht="15" x14ac:dyDescent="0.25">
      <c r="E598">
        <v>31551</v>
      </c>
      <c r="V598" s="7"/>
      <c r="W598" s="7"/>
      <c r="X598" s="7"/>
      <c r="Y598" s="7"/>
      <c r="Z598" s="7"/>
      <c r="AA598" s="7"/>
      <c r="AB598" s="7"/>
      <c r="AC598" s="7"/>
      <c r="AD598" s="7"/>
      <c r="AE598" s="7"/>
      <c r="AF598" s="7"/>
      <c r="AG598" s="7"/>
      <c r="AH598" s="7"/>
      <c r="AI598" s="7"/>
      <c r="AJ598" s="7"/>
      <c r="AK598" s="7"/>
      <c r="AL598" s="7"/>
    </row>
    <row r="599" spans="5:38" ht="15" x14ac:dyDescent="0.25">
      <c r="E599">
        <v>31448</v>
      </c>
      <c r="V599" s="7"/>
      <c r="W599" s="7"/>
      <c r="X599" s="7"/>
      <c r="Y599" s="7"/>
      <c r="Z599" s="7"/>
      <c r="AA599" s="7"/>
      <c r="AB599" s="7"/>
      <c r="AC599" s="7"/>
      <c r="AD599" s="7"/>
      <c r="AE599" s="7"/>
      <c r="AF599" s="7"/>
      <c r="AG599" s="7"/>
      <c r="AH599" s="7"/>
      <c r="AI599" s="7"/>
      <c r="AJ599" s="7"/>
      <c r="AK599" s="7"/>
      <c r="AL599" s="7"/>
    </row>
    <row r="600" spans="5:38" ht="15" x14ac:dyDescent="0.25">
      <c r="E600">
        <v>31439</v>
      </c>
      <c r="V600" s="7"/>
      <c r="W600" s="7"/>
      <c r="X600" s="7"/>
      <c r="Y600" s="7"/>
      <c r="Z600" s="7"/>
      <c r="AA600" s="7"/>
      <c r="AB600" s="7"/>
      <c r="AC600" s="7"/>
      <c r="AD600" s="7"/>
      <c r="AE600" s="7"/>
      <c r="AF600" s="7"/>
      <c r="AG600" s="7"/>
      <c r="AH600" s="7"/>
      <c r="AI600" s="7"/>
      <c r="AJ600" s="7"/>
      <c r="AK600" s="7"/>
      <c r="AL600" s="7"/>
    </row>
    <row r="601" spans="5:38" ht="15" x14ac:dyDescent="0.25">
      <c r="E601">
        <v>31469</v>
      </c>
      <c r="V601" s="7"/>
      <c r="W601" s="7"/>
      <c r="X601" s="7"/>
      <c r="Y601" s="7"/>
      <c r="Z601" s="7"/>
      <c r="AA601" s="7"/>
      <c r="AB601" s="7"/>
      <c r="AC601" s="7"/>
      <c r="AD601" s="7"/>
      <c r="AE601" s="7"/>
      <c r="AF601" s="7"/>
      <c r="AG601" s="7"/>
      <c r="AH601" s="7"/>
      <c r="AI601" s="7"/>
      <c r="AJ601" s="7"/>
      <c r="AK601" s="7"/>
      <c r="AL601" s="7"/>
    </row>
    <row r="602" spans="5:38" ht="15" x14ac:dyDescent="0.25">
      <c r="E602">
        <v>31433</v>
      </c>
      <c r="V602" s="7"/>
      <c r="W602" s="7"/>
      <c r="X602" s="7"/>
      <c r="Y602" s="7"/>
      <c r="Z602" s="7"/>
      <c r="AA602" s="7"/>
      <c r="AB602" s="7"/>
      <c r="AC602" s="7"/>
      <c r="AD602" s="7"/>
      <c r="AE602" s="7"/>
      <c r="AF602" s="7"/>
      <c r="AG602" s="7"/>
      <c r="AH602" s="7"/>
      <c r="AI602" s="7"/>
      <c r="AJ602" s="7"/>
      <c r="AK602" s="7"/>
      <c r="AL602" s="7"/>
    </row>
    <row r="603" spans="5:38" ht="15" x14ac:dyDescent="0.25">
      <c r="E603">
        <v>31625</v>
      </c>
      <c r="V603" s="7"/>
      <c r="W603" s="7"/>
      <c r="X603" s="7"/>
      <c r="Y603" s="7"/>
      <c r="Z603" s="7"/>
      <c r="AA603" s="7"/>
      <c r="AB603" s="7"/>
      <c r="AC603" s="7"/>
      <c r="AD603" s="7"/>
      <c r="AE603" s="7"/>
      <c r="AF603" s="7"/>
      <c r="AG603" s="7"/>
      <c r="AH603" s="7"/>
      <c r="AI603" s="7"/>
      <c r="AJ603" s="7"/>
      <c r="AK603" s="7"/>
      <c r="AL603" s="7"/>
    </row>
    <row r="604" spans="5:38" ht="15" x14ac:dyDescent="0.25">
      <c r="E604">
        <v>31751</v>
      </c>
      <c r="V604" s="7"/>
      <c r="W604" s="7"/>
      <c r="X604" s="7"/>
      <c r="Y604" s="7"/>
      <c r="Z604" s="7"/>
      <c r="AA604" s="7"/>
      <c r="AB604" s="7"/>
      <c r="AC604" s="7"/>
      <c r="AD604" s="7"/>
      <c r="AE604" s="7"/>
      <c r="AF604" s="7"/>
      <c r="AG604" s="7"/>
      <c r="AH604" s="7"/>
      <c r="AI604" s="7"/>
      <c r="AJ604" s="7"/>
      <c r="AK604" s="7"/>
      <c r="AL604" s="7"/>
    </row>
    <row r="605" spans="5:38" ht="15" x14ac:dyDescent="0.25">
      <c r="E605">
        <v>31636</v>
      </c>
      <c r="V605" s="7"/>
      <c r="W605" s="7"/>
      <c r="X605" s="7"/>
      <c r="Y605" s="7"/>
      <c r="Z605" s="7"/>
      <c r="AA605" s="7"/>
      <c r="AB605" s="7"/>
      <c r="AC605" s="7"/>
      <c r="AD605" s="7"/>
      <c r="AE605" s="7"/>
      <c r="AF605" s="7"/>
      <c r="AG605" s="7"/>
      <c r="AH605" s="7"/>
      <c r="AI605" s="7"/>
      <c r="AJ605" s="7"/>
      <c r="AK605" s="7"/>
      <c r="AL605" s="7"/>
    </row>
    <row r="606" spans="5:38" ht="15" x14ac:dyDescent="0.25">
      <c r="E606">
        <v>31732</v>
      </c>
      <c r="V606" s="7"/>
      <c r="W606" s="7"/>
      <c r="X606" s="7"/>
      <c r="Y606" s="7"/>
      <c r="Z606" s="7"/>
      <c r="AA606" s="7"/>
      <c r="AB606" s="7"/>
      <c r="AC606" s="7"/>
      <c r="AD606" s="7"/>
      <c r="AE606" s="7"/>
      <c r="AF606" s="7"/>
      <c r="AG606" s="7"/>
      <c r="AH606" s="7"/>
      <c r="AI606" s="7"/>
      <c r="AJ606" s="7"/>
      <c r="AK606" s="7"/>
      <c r="AL606" s="7"/>
    </row>
    <row r="607" spans="5:38" ht="15" x14ac:dyDescent="0.25">
      <c r="E607">
        <v>31635</v>
      </c>
      <c r="V607" s="7"/>
      <c r="W607" s="7"/>
      <c r="X607" s="7"/>
      <c r="Y607" s="7"/>
      <c r="Z607" s="7"/>
      <c r="AA607" s="7"/>
      <c r="AB607" s="7"/>
      <c r="AC607" s="7"/>
      <c r="AD607" s="7"/>
      <c r="AE607" s="7"/>
      <c r="AF607" s="7"/>
      <c r="AG607" s="7"/>
      <c r="AH607" s="7"/>
      <c r="AI607" s="7"/>
      <c r="AJ607" s="7"/>
      <c r="AK607" s="7"/>
      <c r="AL607" s="7"/>
    </row>
    <row r="608" spans="5:38" ht="15" x14ac:dyDescent="0.25">
      <c r="E608">
        <v>31451</v>
      </c>
      <c r="V608" s="7"/>
      <c r="W608" s="7"/>
      <c r="X608" s="7"/>
      <c r="Y608" s="7"/>
      <c r="Z608" s="7"/>
      <c r="AA608" s="7"/>
      <c r="AB608" s="7"/>
      <c r="AC608" s="7"/>
      <c r="AD608" s="7"/>
      <c r="AE608" s="7"/>
      <c r="AF608" s="7"/>
      <c r="AG608" s="7"/>
      <c r="AH608" s="7"/>
      <c r="AI608" s="7"/>
      <c r="AJ608" s="7"/>
      <c r="AK608" s="7"/>
      <c r="AL608" s="7"/>
    </row>
    <row r="609" spans="5:38" ht="15" x14ac:dyDescent="0.25">
      <c r="E609">
        <v>31673</v>
      </c>
      <c r="V609" s="7"/>
      <c r="W609" s="7"/>
      <c r="X609" s="7"/>
      <c r="Y609" s="7"/>
      <c r="Z609" s="7"/>
      <c r="AA609" s="7"/>
      <c r="AB609" s="7"/>
      <c r="AC609" s="7"/>
      <c r="AD609" s="7"/>
      <c r="AE609" s="7"/>
      <c r="AF609" s="7"/>
      <c r="AG609" s="7"/>
      <c r="AH609" s="7"/>
      <c r="AI609" s="7"/>
      <c r="AJ609" s="7"/>
      <c r="AK609" s="7"/>
      <c r="AL609" s="7"/>
    </row>
    <row r="610" spans="5:38" ht="15" x14ac:dyDescent="0.25">
      <c r="E610">
        <v>31668</v>
      </c>
      <c r="V610" s="7"/>
      <c r="W610" s="7"/>
      <c r="X610" s="7"/>
      <c r="Y610" s="7"/>
      <c r="Z610" s="7"/>
      <c r="AA610" s="7"/>
      <c r="AB610" s="7"/>
      <c r="AC610" s="7"/>
      <c r="AD610" s="7"/>
      <c r="AE610" s="7"/>
      <c r="AF610" s="7"/>
      <c r="AG610" s="7"/>
      <c r="AH610" s="7"/>
      <c r="AI610" s="7"/>
      <c r="AJ610" s="7"/>
      <c r="AK610" s="7"/>
      <c r="AL610" s="7"/>
    </row>
    <row r="611" spans="5:38" ht="15" x14ac:dyDescent="0.25">
      <c r="E611">
        <v>31472</v>
      </c>
      <c r="V611" s="7"/>
      <c r="W611" s="7"/>
      <c r="X611" s="7"/>
      <c r="Y611" s="7"/>
      <c r="Z611" s="7"/>
      <c r="AA611" s="7"/>
      <c r="AB611" s="7"/>
      <c r="AC611" s="7"/>
      <c r="AD611" s="7"/>
      <c r="AE611" s="7"/>
      <c r="AF611" s="7"/>
      <c r="AG611" s="7"/>
      <c r="AH611" s="7"/>
      <c r="AI611" s="7"/>
      <c r="AJ611" s="7"/>
      <c r="AK611" s="7"/>
      <c r="AL611" s="7"/>
    </row>
    <row r="612" spans="5:38" ht="15" x14ac:dyDescent="0.25">
      <c r="E612">
        <v>31828</v>
      </c>
      <c r="V612" s="7"/>
      <c r="W612" s="7"/>
      <c r="X612" s="7"/>
      <c r="Y612" s="7"/>
      <c r="Z612" s="7"/>
      <c r="AA612" s="7"/>
      <c r="AB612" s="7"/>
      <c r="AC612" s="7"/>
      <c r="AD612" s="7"/>
      <c r="AE612" s="7"/>
      <c r="AF612" s="7"/>
      <c r="AG612" s="7"/>
      <c r="AH612" s="7"/>
      <c r="AI612" s="7"/>
      <c r="AJ612" s="7"/>
      <c r="AK612" s="7"/>
      <c r="AL612" s="7"/>
    </row>
    <row r="613" spans="5:38" ht="15" x14ac:dyDescent="0.25">
      <c r="E613">
        <v>31710</v>
      </c>
      <c r="V613" s="7"/>
      <c r="W613" s="7"/>
      <c r="X613" s="7"/>
      <c r="Y613" s="7"/>
      <c r="Z613" s="7"/>
      <c r="AA613" s="7"/>
      <c r="AB613" s="7"/>
      <c r="AC613" s="7"/>
      <c r="AD613" s="7"/>
      <c r="AE613" s="7"/>
      <c r="AF613" s="7"/>
      <c r="AG613" s="7"/>
      <c r="AH613" s="7"/>
      <c r="AI613" s="7"/>
      <c r="AJ613" s="7"/>
      <c r="AK613" s="7"/>
      <c r="AL613" s="7"/>
    </row>
    <row r="614" spans="5:38" ht="15" x14ac:dyDescent="0.25">
      <c r="E614">
        <v>31440</v>
      </c>
      <c r="V614" s="7"/>
      <c r="W614" s="7"/>
      <c r="X614" s="7"/>
      <c r="Y614" s="7"/>
      <c r="Z614" s="7"/>
      <c r="AA614" s="7"/>
      <c r="AB614" s="7"/>
      <c r="AC614" s="7"/>
      <c r="AD614" s="7"/>
      <c r="AE614" s="7"/>
      <c r="AF614" s="7"/>
      <c r="AG614" s="7"/>
      <c r="AH614" s="7"/>
      <c r="AI614" s="7"/>
      <c r="AJ614" s="7"/>
      <c r="AK614" s="7"/>
      <c r="AL614" s="7"/>
    </row>
    <row r="615" spans="5:38" ht="15" x14ac:dyDescent="0.25">
      <c r="E615">
        <v>31464</v>
      </c>
      <c r="V615" s="7"/>
      <c r="W615" s="7"/>
      <c r="X615" s="7"/>
      <c r="Y615" s="7"/>
      <c r="Z615" s="7"/>
      <c r="AA615" s="7"/>
      <c r="AB615" s="7"/>
      <c r="AC615" s="7"/>
      <c r="AD615" s="7"/>
      <c r="AE615" s="7"/>
      <c r="AF615" s="7"/>
      <c r="AG615" s="7"/>
      <c r="AH615" s="7"/>
      <c r="AI615" s="7"/>
      <c r="AJ615" s="7"/>
      <c r="AK615" s="7"/>
      <c r="AL615" s="7"/>
    </row>
    <row r="616" spans="5:38" ht="15" x14ac:dyDescent="0.25">
      <c r="E616">
        <v>31637</v>
      </c>
      <c r="V616" s="7"/>
      <c r="W616" s="7"/>
      <c r="X616" s="7"/>
      <c r="Y616" s="7"/>
      <c r="Z616" s="7"/>
      <c r="AA616" s="7"/>
      <c r="AB616" s="7"/>
      <c r="AC616" s="7"/>
      <c r="AD616" s="7"/>
      <c r="AE616" s="7"/>
      <c r="AF616" s="7"/>
      <c r="AG616" s="7"/>
      <c r="AH616" s="7"/>
      <c r="AI616" s="7"/>
      <c r="AJ616" s="7"/>
      <c r="AK616" s="7"/>
      <c r="AL616" s="7"/>
    </row>
    <row r="617" spans="5:38" ht="15" x14ac:dyDescent="0.25">
      <c r="E617">
        <v>31437</v>
      </c>
      <c r="V617" s="7"/>
      <c r="W617" s="7"/>
      <c r="X617" s="7"/>
      <c r="Y617" s="7"/>
      <c r="Z617" s="7"/>
      <c r="AA617" s="7"/>
      <c r="AB617" s="7"/>
      <c r="AC617" s="7"/>
      <c r="AD617" s="7"/>
      <c r="AE617" s="7"/>
      <c r="AF617" s="7"/>
      <c r="AG617" s="7"/>
      <c r="AH617" s="7"/>
      <c r="AI617" s="7"/>
      <c r="AJ617" s="7"/>
      <c r="AK617" s="7"/>
      <c r="AL617" s="7"/>
    </row>
    <row r="618" spans="5:38" ht="15" x14ac:dyDescent="0.25">
      <c r="E618">
        <v>31827</v>
      </c>
      <c r="V618" s="7"/>
      <c r="W618" s="7"/>
      <c r="X618" s="7"/>
      <c r="Y618" s="7"/>
      <c r="Z618" s="7"/>
      <c r="AA618" s="7"/>
      <c r="AB618" s="7"/>
      <c r="AC618" s="7"/>
      <c r="AD618" s="7"/>
      <c r="AE618" s="7"/>
      <c r="AF618" s="7"/>
      <c r="AG618" s="7"/>
      <c r="AH618" s="7"/>
      <c r="AI618" s="7"/>
      <c r="AJ618" s="7"/>
      <c r="AK618" s="7"/>
      <c r="AL618" s="7"/>
    </row>
    <row r="619" spans="5:38" ht="15" x14ac:dyDescent="0.25">
      <c r="E619">
        <v>31441</v>
      </c>
      <c r="V619" s="7"/>
      <c r="W619" s="7"/>
      <c r="X619" s="7"/>
      <c r="Y619" s="7"/>
      <c r="Z619" s="7"/>
      <c r="AA619" s="7"/>
      <c r="AB619" s="7"/>
      <c r="AC619" s="7"/>
      <c r="AD619" s="7"/>
      <c r="AE619" s="7"/>
      <c r="AF619" s="7"/>
      <c r="AG619" s="7"/>
      <c r="AH619" s="7"/>
      <c r="AI619" s="7"/>
      <c r="AJ619" s="7"/>
      <c r="AK619" s="7"/>
      <c r="AL619" s="7"/>
    </row>
    <row r="620" spans="5:38" ht="15" x14ac:dyDescent="0.25">
      <c r="E620">
        <v>31620</v>
      </c>
      <c r="V620" s="7"/>
      <c r="W620" s="7"/>
      <c r="X620" s="7"/>
      <c r="Y620" s="7"/>
      <c r="Z620" s="7"/>
      <c r="AA620" s="7"/>
      <c r="AB620" s="7"/>
      <c r="AC620" s="7"/>
      <c r="AD620" s="7"/>
      <c r="AE620" s="7"/>
      <c r="AF620" s="7"/>
      <c r="AG620" s="7"/>
      <c r="AH620" s="7"/>
      <c r="AI620" s="7"/>
      <c r="AJ620" s="7"/>
      <c r="AK620" s="7"/>
      <c r="AL620" s="7"/>
    </row>
    <row r="621" spans="5:38" ht="15" x14ac:dyDescent="0.25">
      <c r="E621">
        <v>31744</v>
      </c>
      <c r="V621" s="7"/>
      <c r="W621" s="7"/>
      <c r="X621" s="7"/>
      <c r="Y621" s="7"/>
      <c r="Z621" s="7"/>
      <c r="AA621" s="7"/>
      <c r="AB621" s="7"/>
      <c r="AC621" s="7"/>
      <c r="AD621" s="7"/>
      <c r="AE621" s="7"/>
      <c r="AF621" s="7"/>
      <c r="AG621" s="7"/>
      <c r="AH621" s="7"/>
      <c r="AI621" s="7"/>
      <c r="AJ621" s="7"/>
      <c r="AK621" s="7"/>
      <c r="AL621" s="7"/>
    </row>
    <row r="622" spans="5:38" ht="15" x14ac:dyDescent="0.25">
      <c r="E622">
        <v>31470</v>
      </c>
      <c r="V622" s="7"/>
      <c r="W622" s="7"/>
      <c r="X622" s="7"/>
      <c r="Y622" s="7"/>
      <c r="Z622" s="7"/>
      <c r="AA622" s="7"/>
      <c r="AB622" s="7"/>
      <c r="AC622" s="7"/>
      <c r="AD622" s="7"/>
      <c r="AE622" s="7"/>
      <c r="AF622" s="7"/>
      <c r="AG622" s="7"/>
      <c r="AH622" s="7"/>
      <c r="AI622" s="7"/>
      <c r="AJ622" s="7"/>
      <c r="AK622" s="7"/>
      <c r="AL622" s="7"/>
    </row>
    <row r="623" spans="5:38" ht="15" x14ac:dyDescent="0.25">
      <c r="E623">
        <v>31669</v>
      </c>
      <c r="V623" s="7"/>
      <c r="W623" s="7"/>
      <c r="X623" s="7"/>
      <c r="Y623" s="7"/>
      <c r="Z623" s="7"/>
      <c r="AA623" s="7"/>
      <c r="AB623" s="7"/>
      <c r="AC623" s="7"/>
      <c r="AD623" s="7"/>
      <c r="AE623" s="7"/>
      <c r="AF623" s="7"/>
      <c r="AG623" s="7"/>
      <c r="AH623" s="7"/>
      <c r="AI623" s="7"/>
      <c r="AJ623" s="7"/>
      <c r="AK623" s="7"/>
      <c r="AL623" s="7"/>
    </row>
    <row r="624" spans="5:38" ht="15" x14ac:dyDescent="0.25">
      <c r="E624">
        <v>31830</v>
      </c>
      <c r="V624" s="7"/>
      <c r="W624" s="7"/>
      <c r="X624" s="7"/>
      <c r="Y624" s="7"/>
      <c r="Z624" s="7"/>
      <c r="AA624" s="7"/>
      <c r="AB624" s="7"/>
      <c r="AC624" s="7"/>
      <c r="AD624" s="7"/>
      <c r="AE624" s="7"/>
      <c r="AF624" s="7"/>
      <c r="AG624" s="7"/>
      <c r="AH624" s="7"/>
      <c r="AI624" s="7"/>
      <c r="AJ624" s="7"/>
      <c r="AK624" s="7"/>
      <c r="AL624" s="7"/>
    </row>
    <row r="625" spans="5:38" ht="15" x14ac:dyDescent="0.25">
      <c r="E625">
        <v>31524</v>
      </c>
      <c r="V625" s="7"/>
      <c r="W625" s="7"/>
      <c r="X625" s="7"/>
      <c r="Y625" s="7"/>
      <c r="Z625" s="7"/>
      <c r="AA625" s="7"/>
      <c r="AB625" s="7"/>
      <c r="AC625" s="7"/>
      <c r="AD625" s="7"/>
      <c r="AE625" s="7"/>
      <c r="AF625" s="7"/>
      <c r="AG625" s="7"/>
      <c r="AH625" s="7"/>
      <c r="AI625" s="7"/>
      <c r="AJ625" s="7"/>
      <c r="AK625" s="7"/>
      <c r="AL625" s="7"/>
    </row>
    <row r="626" spans="5:38" ht="15" x14ac:dyDescent="0.25">
      <c r="E626">
        <v>31735</v>
      </c>
      <c r="V626" s="7"/>
      <c r="W626" s="7"/>
      <c r="X626" s="7"/>
      <c r="Y626" s="7"/>
      <c r="Z626" s="7"/>
      <c r="AA626" s="7"/>
      <c r="AB626" s="7"/>
      <c r="AC626" s="7"/>
      <c r="AD626" s="7"/>
      <c r="AE626" s="7"/>
      <c r="AF626" s="7"/>
      <c r="AG626" s="7"/>
      <c r="AH626" s="7"/>
      <c r="AI626" s="7"/>
      <c r="AJ626" s="7"/>
      <c r="AK626" s="7"/>
      <c r="AL626" s="7"/>
    </row>
    <row r="627" spans="5:38" ht="15" x14ac:dyDescent="0.25">
      <c r="E627">
        <v>31831</v>
      </c>
      <c r="V627" s="7"/>
      <c r="W627" s="7"/>
      <c r="X627" s="7"/>
      <c r="Y627" s="7"/>
      <c r="Z627" s="7"/>
      <c r="AA627" s="7"/>
      <c r="AB627" s="7"/>
      <c r="AC627" s="7"/>
      <c r="AD627" s="7"/>
      <c r="AE627" s="7"/>
      <c r="AF627" s="7"/>
      <c r="AG627" s="7"/>
      <c r="AH627" s="7"/>
      <c r="AI627" s="7"/>
      <c r="AJ627" s="7"/>
      <c r="AK627" s="7"/>
      <c r="AL627" s="7"/>
    </row>
    <row r="628" spans="5:38" ht="15" x14ac:dyDescent="0.25">
      <c r="E628">
        <v>31453</v>
      </c>
      <c r="V628" s="7"/>
      <c r="W628" s="7"/>
      <c r="X628" s="7"/>
      <c r="Y628" s="7"/>
      <c r="Z628" s="7"/>
      <c r="AA628" s="7"/>
      <c r="AB628" s="7"/>
      <c r="AC628" s="7"/>
      <c r="AD628" s="7"/>
      <c r="AE628" s="7"/>
      <c r="AF628" s="7"/>
      <c r="AG628" s="7"/>
      <c r="AH628" s="7"/>
      <c r="AI628" s="7"/>
      <c r="AJ628" s="7"/>
      <c r="AK628" s="7"/>
      <c r="AL628" s="7"/>
    </row>
    <row r="629" spans="5:38" ht="15" x14ac:dyDescent="0.25">
      <c r="E629">
        <v>31529</v>
      </c>
      <c r="V629" s="7"/>
      <c r="W629" s="7"/>
      <c r="X629" s="7"/>
      <c r="Y629" s="7"/>
      <c r="Z629" s="7"/>
      <c r="AA629" s="7"/>
      <c r="AB629" s="7"/>
      <c r="AC629" s="7"/>
      <c r="AD629" s="7"/>
      <c r="AE629" s="7"/>
      <c r="AF629" s="7"/>
      <c r="AG629" s="7"/>
      <c r="AH629" s="7"/>
      <c r="AI629" s="7"/>
      <c r="AJ629" s="7"/>
      <c r="AK629" s="7"/>
      <c r="AL629" s="7"/>
    </row>
    <row r="630" spans="5:38" ht="15" x14ac:dyDescent="0.25">
      <c r="E630">
        <v>31572</v>
      </c>
      <c r="V630" s="7"/>
      <c r="W630" s="7"/>
      <c r="X630" s="7"/>
      <c r="Y630" s="7"/>
      <c r="Z630" s="7"/>
      <c r="AA630" s="7"/>
      <c r="AB630" s="7"/>
      <c r="AC630" s="7"/>
      <c r="AD630" s="7"/>
      <c r="AE630" s="7"/>
      <c r="AF630" s="7"/>
      <c r="AG630" s="7"/>
      <c r="AH630" s="7"/>
      <c r="AI630" s="7"/>
      <c r="AJ630" s="7"/>
      <c r="AK630" s="7"/>
      <c r="AL630" s="7"/>
    </row>
    <row r="631" spans="5:38" ht="15" x14ac:dyDescent="0.25">
      <c r="E631">
        <v>31753</v>
      </c>
      <c r="V631" s="7"/>
      <c r="W631" s="7"/>
      <c r="X631" s="7"/>
      <c r="Y631" s="7"/>
      <c r="Z631" s="7"/>
      <c r="AA631" s="7"/>
      <c r="AB631" s="7"/>
      <c r="AC631" s="7"/>
      <c r="AD631" s="7"/>
      <c r="AE631" s="7"/>
      <c r="AF631" s="7"/>
      <c r="AG631" s="7"/>
      <c r="AH631" s="7"/>
      <c r="AI631" s="7"/>
      <c r="AJ631" s="7"/>
      <c r="AK631" s="7"/>
      <c r="AL631" s="7"/>
    </row>
    <row r="632" spans="5:38" ht="15" x14ac:dyDescent="0.25">
      <c r="E632">
        <v>31467</v>
      </c>
      <c r="V632" s="7"/>
      <c r="W632" s="7"/>
      <c r="X632" s="7"/>
      <c r="Y632" s="7"/>
      <c r="Z632" s="7"/>
      <c r="AA632" s="7"/>
      <c r="AB632" s="7"/>
      <c r="AC632" s="7"/>
      <c r="AD632" s="7"/>
      <c r="AE632" s="7"/>
      <c r="AF632" s="7"/>
      <c r="AG632" s="7"/>
      <c r="AH632" s="7"/>
      <c r="AI632" s="7"/>
      <c r="AJ632" s="7"/>
      <c r="AK632" s="7"/>
      <c r="AL632" s="7"/>
    </row>
    <row r="633" spans="5:38" ht="15" x14ac:dyDescent="0.25">
      <c r="E633">
        <v>31449</v>
      </c>
      <c r="V633" s="7"/>
      <c r="W633" s="7"/>
      <c r="X633" s="7"/>
      <c r="Y633" s="7"/>
      <c r="Z633" s="7"/>
      <c r="AA633" s="7"/>
      <c r="AB633" s="7"/>
      <c r="AC633" s="7"/>
      <c r="AD633" s="7"/>
      <c r="AE633" s="7"/>
      <c r="AF633" s="7"/>
      <c r="AG633" s="7"/>
      <c r="AH633" s="7"/>
      <c r="AI633" s="7"/>
      <c r="AJ633" s="7"/>
      <c r="AK633" s="7"/>
      <c r="AL633" s="7"/>
    </row>
    <row r="634" spans="5:38" ht="15" x14ac:dyDescent="0.25">
      <c r="E634">
        <v>31720</v>
      </c>
      <c r="V634" s="7"/>
      <c r="W634" s="7"/>
      <c r="X634" s="7"/>
      <c r="Y634" s="7"/>
      <c r="Z634" s="7"/>
      <c r="AA634" s="7"/>
      <c r="AB634" s="7"/>
      <c r="AC634" s="7"/>
      <c r="AD634" s="7"/>
      <c r="AE634" s="7"/>
      <c r="AF634" s="7"/>
      <c r="AG634" s="7"/>
      <c r="AH634" s="7"/>
      <c r="AI634" s="7"/>
      <c r="AJ634" s="7"/>
      <c r="AK634" s="7"/>
      <c r="AL634" s="7"/>
    </row>
    <row r="635" spans="5:38" ht="15" x14ac:dyDescent="0.25">
      <c r="E635">
        <v>31528</v>
      </c>
      <c r="V635" s="7"/>
      <c r="W635" s="7"/>
      <c r="X635" s="7"/>
      <c r="Y635" s="7"/>
      <c r="Z635" s="7"/>
      <c r="AA635" s="7"/>
      <c r="AB635" s="7"/>
      <c r="AC635" s="7"/>
      <c r="AD635" s="7"/>
      <c r="AE635" s="7"/>
      <c r="AF635" s="7"/>
      <c r="AG635" s="7"/>
      <c r="AH635" s="7"/>
      <c r="AI635" s="7"/>
      <c r="AJ635" s="7"/>
      <c r="AK635" s="7"/>
      <c r="AL635" s="7"/>
    </row>
    <row r="636" spans="5:38" ht="15" x14ac:dyDescent="0.25">
      <c r="E636">
        <v>31734</v>
      </c>
      <c r="V636" s="7"/>
      <c r="W636" s="7"/>
      <c r="X636" s="7"/>
      <c r="Y636" s="7"/>
      <c r="Z636" s="7"/>
      <c r="AA636" s="7"/>
      <c r="AB636" s="7"/>
      <c r="AC636" s="7"/>
      <c r="AD636" s="7"/>
      <c r="AE636" s="7"/>
      <c r="AF636" s="7"/>
      <c r="AG636" s="7"/>
      <c r="AH636" s="7"/>
      <c r="AI636" s="7"/>
      <c r="AJ636" s="7"/>
      <c r="AK636" s="7"/>
      <c r="AL636" s="7"/>
    </row>
    <row r="637" spans="5:38" ht="15" x14ac:dyDescent="0.25">
      <c r="E637">
        <v>31733</v>
      </c>
      <c r="V637" s="7"/>
      <c r="W637" s="7"/>
      <c r="X637" s="7"/>
      <c r="Y637" s="7"/>
      <c r="Z637" s="7"/>
      <c r="AA637" s="7"/>
      <c r="AB637" s="7"/>
      <c r="AC637" s="7"/>
      <c r="AD637" s="7"/>
      <c r="AE637" s="7"/>
      <c r="AF637" s="7"/>
      <c r="AG637" s="7"/>
      <c r="AH637" s="7"/>
      <c r="AI637" s="7"/>
      <c r="AJ637" s="7"/>
      <c r="AK637" s="7"/>
      <c r="AL637" s="7"/>
    </row>
    <row r="638" spans="5:38" ht="15" x14ac:dyDescent="0.25">
      <c r="E638">
        <v>31473</v>
      </c>
      <c r="V638" s="7"/>
      <c r="W638" s="7"/>
      <c r="X638" s="7"/>
      <c r="Y638" s="7"/>
      <c r="Z638" s="7"/>
      <c r="AA638" s="7"/>
      <c r="AB638" s="7"/>
      <c r="AC638" s="7"/>
      <c r="AD638" s="7"/>
      <c r="AE638" s="7"/>
      <c r="AF638" s="7"/>
      <c r="AG638" s="7"/>
      <c r="AH638" s="7"/>
      <c r="AI638" s="7"/>
      <c r="AJ638" s="7"/>
      <c r="AK638" s="7"/>
      <c r="AL638" s="7"/>
    </row>
    <row r="639" spans="5:38" ht="15" x14ac:dyDescent="0.25">
      <c r="E639">
        <v>31719</v>
      </c>
      <c r="V639" s="7"/>
      <c r="W639" s="7"/>
      <c r="X639" s="7"/>
      <c r="Y639" s="7"/>
      <c r="Z639" s="7"/>
      <c r="AA639" s="7"/>
      <c r="AB639" s="7"/>
      <c r="AC639" s="7"/>
      <c r="AD639" s="7"/>
      <c r="AE639" s="7"/>
      <c r="AF639" s="7"/>
      <c r="AG639" s="7"/>
      <c r="AH639" s="7"/>
      <c r="AI639" s="7"/>
      <c r="AJ639" s="7"/>
      <c r="AK639" s="7"/>
      <c r="AL639" s="7"/>
    </row>
    <row r="640" spans="5:38" ht="15" x14ac:dyDescent="0.25">
      <c r="E640">
        <v>31736</v>
      </c>
      <c r="V640" s="7"/>
      <c r="W640" s="7"/>
      <c r="X640" s="7"/>
      <c r="Y640" s="7"/>
      <c r="Z640" s="7"/>
      <c r="AA640" s="7"/>
      <c r="AB640" s="7"/>
      <c r="AC640" s="7"/>
      <c r="AD640" s="7"/>
      <c r="AE640" s="7"/>
      <c r="AF640" s="7"/>
      <c r="AG640" s="7"/>
      <c r="AH640" s="7"/>
      <c r="AI640" s="7"/>
      <c r="AJ640" s="7"/>
      <c r="AK640" s="7"/>
      <c r="AL640" s="7"/>
    </row>
    <row r="641" spans="5:38" ht="15" x14ac:dyDescent="0.25">
      <c r="E641">
        <v>31755</v>
      </c>
      <c r="V641" s="7"/>
      <c r="W641" s="7"/>
      <c r="X641" s="7"/>
      <c r="Y641" s="7"/>
      <c r="Z641" s="7"/>
      <c r="AA641" s="7"/>
      <c r="AB641" s="7"/>
      <c r="AC641" s="7"/>
      <c r="AD641" s="7"/>
      <c r="AE641" s="7"/>
      <c r="AF641" s="7"/>
      <c r="AG641" s="7"/>
      <c r="AH641" s="7"/>
      <c r="AI641" s="7"/>
      <c r="AJ641" s="7"/>
      <c r="AK641" s="7"/>
      <c r="AL641" s="7"/>
    </row>
    <row r="642" spans="5:38" ht="15" x14ac:dyDescent="0.25">
      <c r="E642">
        <v>31574</v>
      </c>
      <c r="V642" s="7"/>
      <c r="W642" s="7"/>
      <c r="X642" s="7"/>
      <c r="Y642" s="7"/>
      <c r="Z642" s="7"/>
      <c r="AA642" s="7"/>
      <c r="AB642" s="7"/>
      <c r="AC642" s="7"/>
      <c r="AD642" s="7"/>
      <c r="AE642" s="7"/>
      <c r="AF642" s="7"/>
      <c r="AG642" s="7"/>
      <c r="AH642" s="7"/>
      <c r="AI642" s="7"/>
      <c r="AJ642" s="7"/>
      <c r="AK642" s="7"/>
      <c r="AL642" s="7"/>
    </row>
    <row r="643" spans="5:38" ht="15" x14ac:dyDescent="0.25">
      <c r="E643">
        <v>31554</v>
      </c>
      <c r="V643" s="7"/>
      <c r="W643" s="7"/>
      <c r="X643" s="7"/>
      <c r="Y643" s="7"/>
      <c r="Z643" s="7"/>
      <c r="AA643" s="7"/>
      <c r="AB643" s="7"/>
      <c r="AC643" s="7"/>
      <c r="AD643" s="7"/>
      <c r="AE643" s="7"/>
      <c r="AF643" s="7"/>
      <c r="AG643" s="7"/>
      <c r="AH643" s="7"/>
      <c r="AI643" s="7"/>
      <c r="AJ643" s="7"/>
      <c r="AK643" s="7"/>
      <c r="AL643" s="7"/>
    </row>
    <row r="644" spans="5:38" ht="15" x14ac:dyDescent="0.25">
      <c r="E644">
        <v>31450</v>
      </c>
      <c r="V644" s="7"/>
      <c r="W644" s="7"/>
      <c r="X644" s="7"/>
      <c r="Y644" s="7"/>
      <c r="Z644" s="7"/>
      <c r="AA644" s="7"/>
      <c r="AB644" s="7"/>
      <c r="AC644" s="7"/>
      <c r="AD644" s="7"/>
      <c r="AE644" s="7"/>
      <c r="AF644" s="7"/>
      <c r="AG644" s="7"/>
      <c r="AH644" s="7"/>
      <c r="AI644" s="7"/>
      <c r="AJ644" s="7"/>
      <c r="AK644" s="7"/>
      <c r="AL644" s="7"/>
    </row>
    <row r="645" spans="5:38" ht="15" x14ac:dyDescent="0.25">
      <c r="E645">
        <v>31721</v>
      </c>
      <c r="V645" s="7"/>
      <c r="W645" s="7"/>
      <c r="X645" s="7"/>
      <c r="Y645" s="7"/>
      <c r="Z645" s="7"/>
      <c r="AA645" s="7"/>
      <c r="AB645" s="7"/>
      <c r="AC645" s="7"/>
      <c r="AD645" s="7"/>
      <c r="AE645" s="7"/>
      <c r="AF645" s="7"/>
      <c r="AG645" s="7"/>
      <c r="AH645" s="7"/>
      <c r="AI645" s="7"/>
      <c r="AJ645" s="7"/>
      <c r="AK645" s="7"/>
      <c r="AL645" s="7"/>
    </row>
    <row r="646" spans="5:38" ht="15" x14ac:dyDescent="0.25">
      <c r="E646">
        <v>31484</v>
      </c>
      <c r="V646" s="7"/>
      <c r="W646" s="7"/>
      <c r="X646" s="7"/>
      <c r="Y646" s="7"/>
      <c r="Z646" s="7"/>
      <c r="AA646" s="7"/>
      <c r="AB646" s="7"/>
      <c r="AC646" s="7"/>
      <c r="AD646" s="7"/>
      <c r="AE646" s="7"/>
      <c r="AF646" s="7"/>
      <c r="AG646" s="7"/>
      <c r="AH646" s="7"/>
      <c r="AI646" s="7"/>
      <c r="AJ646" s="7"/>
      <c r="AK646" s="7"/>
      <c r="AL646" s="7"/>
    </row>
    <row r="647" spans="5:38" ht="15" x14ac:dyDescent="0.25">
      <c r="E647">
        <v>31555</v>
      </c>
      <c r="V647" s="7"/>
      <c r="W647" s="7"/>
      <c r="X647" s="7"/>
      <c r="Y647" s="7"/>
      <c r="Z647" s="7"/>
      <c r="AA647" s="7"/>
      <c r="AB647" s="7"/>
      <c r="AC647" s="7"/>
      <c r="AD647" s="7"/>
      <c r="AE647" s="7"/>
      <c r="AF647" s="7"/>
      <c r="AG647" s="7"/>
      <c r="AH647" s="7"/>
      <c r="AI647" s="7"/>
      <c r="AJ647" s="7"/>
      <c r="AK647" s="7"/>
      <c r="AL647" s="7"/>
    </row>
    <row r="648" spans="5:38" ht="15" x14ac:dyDescent="0.25">
      <c r="E648">
        <v>31576</v>
      </c>
      <c r="V648" s="7"/>
      <c r="W648" s="7"/>
      <c r="X648" s="7"/>
      <c r="Y648" s="7"/>
      <c r="Z648" s="7"/>
      <c r="AA648" s="7"/>
      <c r="AB648" s="7"/>
      <c r="AC648" s="7"/>
      <c r="AD648" s="7"/>
      <c r="AE648" s="7"/>
      <c r="AF648" s="7"/>
      <c r="AG648" s="7"/>
      <c r="AH648" s="7"/>
      <c r="AI648" s="7"/>
      <c r="AJ648" s="7"/>
      <c r="AK648" s="7"/>
      <c r="AL648" s="7"/>
    </row>
    <row r="649" spans="5:38" ht="15" x14ac:dyDescent="0.25">
      <c r="E649">
        <v>31640</v>
      </c>
      <c r="V649" s="7"/>
      <c r="W649" s="7"/>
      <c r="X649" s="7"/>
      <c r="Y649" s="7"/>
      <c r="Z649" s="7"/>
      <c r="AA649" s="7"/>
      <c r="AB649" s="7"/>
      <c r="AC649" s="7"/>
      <c r="AD649" s="7"/>
      <c r="AE649" s="7"/>
      <c r="AF649" s="7"/>
      <c r="AG649" s="7"/>
      <c r="AH649" s="7"/>
      <c r="AI649" s="7"/>
      <c r="AJ649" s="7"/>
      <c r="AK649" s="7"/>
      <c r="AL649" s="7"/>
    </row>
    <row r="650" spans="5:38" ht="15" x14ac:dyDescent="0.25">
      <c r="E650">
        <v>31757</v>
      </c>
      <c r="V650" s="7"/>
      <c r="W650" s="7"/>
      <c r="X650" s="7"/>
      <c r="Y650" s="7"/>
      <c r="Z650" s="7"/>
      <c r="AA650" s="7"/>
      <c r="AB650" s="7"/>
      <c r="AC650" s="7"/>
      <c r="AD650" s="7"/>
      <c r="AE650" s="7"/>
      <c r="AF650" s="7"/>
      <c r="AG650" s="7"/>
      <c r="AH650" s="7"/>
      <c r="AI650" s="7"/>
      <c r="AJ650" s="7"/>
      <c r="AK650" s="7"/>
      <c r="AL650" s="7"/>
    </row>
    <row r="651" spans="5:38" ht="15" x14ac:dyDescent="0.25">
      <c r="E651">
        <v>31466</v>
      </c>
      <c r="V651" s="7"/>
      <c r="W651" s="7"/>
      <c r="X651" s="7"/>
      <c r="Y651" s="7"/>
      <c r="Z651" s="7"/>
      <c r="AA651" s="7"/>
      <c r="AB651" s="7"/>
      <c r="AC651" s="7"/>
      <c r="AD651" s="7"/>
      <c r="AE651" s="7"/>
      <c r="AF651" s="7"/>
      <c r="AG651" s="7"/>
      <c r="AH651" s="7"/>
      <c r="AI651" s="7"/>
      <c r="AJ651" s="7"/>
      <c r="AK651" s="7"/>
      <c r="AL651" s="7"/>
    </row>
    <row r="652" spans="5:38" ht="15" x14ac:dyDescent="0.25">
      <c r="E652">
        <v>31527</v>
      </c>
      <c r="V652" s="7"/>
      <c r="W652" s="7"/>
      <c r="X652" s="7"/>
      <c r="Y652" s="7"/>
      <c r="Z652" s="7"/>
      <c r="AA652" s="7"/>
      <c r="AB652" s="7"/>
      <c r="AC652" s="7"/>
      <c r="AD652" s="7"/>
      <c r="AE652" s="7"/>
      <c r="AF652" s="7"/>
      <c r="AG652" s="7"/>
      <c r="AH652" s="7"/>
      <c r="AI652" s="7"/>
      <c r="AJ652" s="7"/>
      <c r="AK652" s="7"/>
      <c r="AL652" s="7"/>
    </row>
    <row r="653" spans="5:38" ht="15" x14ac:dyDescent="0.25">
      <c r="E653">
        <v>31468</v>
      </c>
      <c r="V653" s="7"/>
      <c r="W653" s="7"/>
      <c r="X653" s="7"/>
      <c r="Y653" s="7"/>
      <c r="Z653" s="7"/>
      <c r="AA653" s="7"/>
      <c r="AB653" s="7"/>
      <c r="AC653" s="7"/>
      <c r="AD653" s="7"/>
      <c r="AE653" s="7"/>
      <c r="AF653" s="7"/>
      <c r="AG653" s="7"/>
      <c r="AH653" s="7"/>
      <c r="AI653" s="7"/>
      <c r="AJ653" s="7"/>
      <c r="AK653" s="7"/>
      <c r="AL653" s="7"/>
    </row>
    <row r="654" spans="5:38" ht="15" x14ac:dyDescent="0.25">
      <c r="E654">
        <v>31740</v>
      </c>
      <c r="V654" s="7"/>
      <c r="W654" s="7"/>
      <c r="X654" s="7"/>
      <c r="Y654" s="7"/>
      <c r="Z654" s="7"/>
      <c r="AA654" s="7"/>
      <c r="AB654" s="7"/>
      <c r="AC654" s="7"/>
      <c r="AD654" s="7"/>
      <c r="AE654" s="7"/>
      <c r="AF654" s="7"/>
      <c r="AG654" s="7"/>
      <c r="AH654" s="7"/>
      <c r="AI654" s="7"/>
      <c r="AJ654" s="7"/>
      <c r="AK654" s="7"/>
      <c r="AL654" s="7"/>
    </row>
    <row r="655" spans="5:38" ht="15" x14ac:dyDescent="0.25">
      <c r="E655">
        <v>31717</v>
      </c>
      <c r="V655" s="7"/>
      <c r="W655" s="7"/>
      <c r="X655" s="7"/>
      <c r="Y655" s="7"/>
      <c r="Z655" s="7"/>
      <c r="AA655" s="7"/>
      <c r="AB655" s="7"/>
      <c r="AC655" s="7"/>
      <c r="AD655" s="7"/>
      <c r="AE655" s="7"/>
      <c r="AF655" s="7"/>
      <c r="AG655" s="7"/>
      <c r="AH655" s="7"/>
      <c r="AI655" s="7"/>
      <c r="AJ655" s="7"/>
      <c r="AK655" s="7"/>
      <c r="AL655" s="7"/>
    </row>
    <row r="656" spans="5:38" ht="15" x14ac:dyDescent="0.25">
      <c r="E656">
        <v>31556</v>
      </c>
      <c r="V656" s="7"/>
      <c r="W656" s="7"/>
      <c r="X656" s="7"/>
      <c r="Y656" s="7"/>
      <c r="Z656" s="7"/>
      <c r="AA656" s="7"/>
      <c r="AB656" s="7"/>
      <c r="AC656" s="7"/>
      <c r="AD656" s="7"/>
      <c r="AE656" s="7"/>
      <c r="AF656" s="7"/>
      <c r="AG656" s="7"/>
      <c r="AH656" s="7"/>
      <c r="AI656" s="7"/>
      <c r="AJ656" s="7"/>
      <c r="AK656" s="7"/>
      <c r="AL656" s="7"/>
    </row>
    <row r="657" spans="5:38" ht="15" x14ac:dyDescent="0.25">
      <c r="E657">
        <v>31621</v>
      </c>
      <c r="V657" s="7"/>
      <c r="W657" s="7"/>
      <c r="X657" s="7"/>
      <c r="Y657" s="7"/>
      <c r="Z657" s="7"/>
      <c r="AA657" s="7"/>
      <c r="AB657" s="7"/>
      <c r="AC657" s="7"/>
      <c r="AD657" s="7"/>
      <c r="AE657" s="7"/>
      <c r="AF657" s="7"/>
      <c r="AG657" s="7"/>
      <c r="AH657" s="7"/>
      <c r="AI657" s="7"/>
      <c r="AJ657" s="7"/>
      <c r="AK657" s="7"/>
      <c r="AL657" s="7"/>
    </row>
    <row r="658" spans="5:38" ht="15" x14ac:dyDescent="0.25">
      <c r="E658">
        <v>31485</v>
      </c>
      <c r="V658" s="7"/>
      <c r="W658" s="7"/>
      <c r="X658" s="7"/>
      <c r="Y658" s="7"/>
      <c r="Z658" s="7"/>
      <c r="AA658" s="7"/>
      <c r="AB658" s="7"/>
      <c r="AC658" s="7"/>
      <c r="AD658" s="7"/>
      <c r="AE658" s="7"/>
      <c r="AF658" s="7"/>
      <c r="AG658" s="7"/>
      <c r="AH658" s="7"/>
      <c r="AI658" s="7"/>
      <c r="AJ658" s="7"/>
      <c r="AK658" s="7"/>
      <c r="AL658" s="7"/>
    </row>
    <row r="659" spans="5:38" ht="15" x14ac:dyDescent="0.25">
      <c r="E659">
        <v>31649</v>
      </c>
      <c r="V659" s="7"/>
      <c r="W659" s="7"/>
      <c r="X659" s="7"/>
      <c r="Y659" s="7"/>
      <c r="Z659" s="7"/>
      <c r="AA659" s="7"/>
      <c r="AB659" s="7"/>
      <c r="AC659" s="7"/>
      <c r="AD659" s="7"/>
      <c r="AE659" s="7"/>
      <c r="AF659" s="7"/>
      <c r="AG659" s="7"/>
      <c r="AH659" s="7"/>
      <c r="AI659" s="7"/>
      <c r="AJ659" s="7"/>
      <c r="AK659" s="7"/>
      <c r="AL659" s="7"/>
    </row>
    <row r="660" spans="5:38" ht="15" x14ac:dyDescent="0.25">
      <c r="E660">
        <v>31539</v>
      </c>
      <c r="V660" s="7"/>
      <c r="W660" s="7"/>
      <c r="X660" s="7"/>
      <c r="Y660" s="7"/>
      <c r="Z660" s="7"/>
      <c r="AA660" s="7"/>
      <c r="AB660" s="7"/>
      <c r="AC660" s="7"/>
      <c r="AD660" s="7"/>
      <c r="AE660" s="7"/>
      <c r="AF660" s="7"/>
      <c r="AG660" s="7"/>
      <c r="AH660" s="7"/>
      <c r="AI660" s="7"/>
      <c r="AJ660" s="7"/>
      <c r="AK660" s="7"/>
      <c r="AL660" s="7"/>
    </row>
    <row r="661" spans="5:38" ht="15" x14ac:dyDescent="0.25">
      <c r="E661">
        <v>31536</v>
      </c>
      <c r="V661" s="7"/>
      <c r="W661" s="7"/>
      <c r="X661" s="7"/>
      <c r="Y661" s="7"/>
      <c r="Z661" s="7"/>
      <c r="AA661" s="7"/>
      <c r="AB661" s="7"/>
      <c r="AC661" s="7"/>
      <c r="AD661" s="7"/>
      <c r="AE661" s="7"/>
      <c r="AF661" s="7"/>
      <c r="AG661" s="7"/>
      <c r="AH661" s="7"/>
      <c r="AI661" s="7"/>
      <c r="AJ661" s="7"/>
      <c r="AK661" s="7"/>
      <c r="AL661" s="7"/>
    </row>
    <row r="662" spans="5:38" ht="15" x14ac:dyDescent="0.25">
      <c r="E662">
        <v>31832</v>
      </c>
      <c r="V662" s="7"/>
      <c r="W662" s="7"/>
      <c r="X662" s="7"/>
      <c r="Y662" s="7"/>
      <c r="Z662" s="7"/>
      <c r="AA662" s="7"/>
      <c r="AB662" s="7"/>
      <c r="AC662" s="7"/>
      <c r="AD662" s="7"/>
      <c r="AE662" s="7"/>
      <c r="AF662" s="7"/>
      <c r="AG662" s="7"/>
      <c r="AH662" s="7"/>
      <c r="AI662" s="7"/>
      <c r="AJ662" s="7"/>
      <c r="AK662" s="7"/>
      <c r="AL662" s="7"/>
    </row>
    <row r="663" spans="5:38" ht="15" x14ac:dyDescent="0.25">
      <c r="E663">
        <v>31651</v>
      </c>
      <c r="V663" s="7"/>
      <c r="W663" s="7"/>
      <c r="X663" s="7"/>
      <c r="Y663" s="7"/>
      <c r="Z663" s="7"/>
      <c r="AA663" s="7"/>
      <c r="AB663" s="7"/>
      <c r="AC663" s="7"/>
      <c r="AD663" s="7"/>
      <c r="AE663" s="7"/>
      <c r="AF663" s="7"/>
      <c r="AG663" s="7"/>
      <c r="AH663" s="7"/>
      <c r="AI663" s="7"/>
      <c r="AJ663" s="7"/>
      <c r="AK663" s="7"/>
      <c r="AL663" s="7"/>
    </row>
    <row r="664" spans="5:38" ht="15" x14ac:dyDescent="0.25">
      <c r="E664">
        <v>31488</v>
      </c>
      <c r="V664" s="7"/>
      <c r="W664" s="7"/>
      <c r="X664" s="7"/>
      <c r="Y664" s="7"/>
      <c r="Z664" s="7"/>
      <c r="AA664" s="7"/>
      <c r="AB664" s="7"/>
      <c r="AC664" s="7"/>
      <c r="AD664" s="7"/>
      <c r="AE664" s="7"/>
      <c r="AF664" s="7"/>
      <c r="AG664" s="7"/>
      <c r="AH664" s="7"/>
      <c r="AI664" s="7"/>
      <c r="AJ664" s="7"/>
      <c r="AK664" s="7"/>
      <c r="AL664" s="7"/>
    </row>
    <row r="665" spans="5:38" ht="15" x14ac:dyDescent="0.25">
      <c r="E665">
        <v>31456</v>
      </c>
      <c r="V665" s="7"/>
      <c r="W665" s="7"/>
      <c r="X665" s="7"/>
      <c r="Y665" s="7"/>
      <c r="Z665" s="7"/>
      <c r="AA665" s="7"/>
      <c r="AB665" s="7"/>
      <c r="AC665" s="7"/>
      <c r="AD665" s="7"/>
      <c r="AE665" s="7"/>
      <c r="AF665" s="7"/>
      <c r="AG665" s="7"/>
      <c r="AH665" s="7"/>
      <c r="AI665" s="7"/>
      <c r="AJ665" s="7"/>
      <c r="AK665" s="7"/>
      <c r="AL665" s="7"/>
    </row>
    <row r="666" spans="5:38" ht="15" x14ac:dyDescent="0.25">
      <c r="E666">
        <v>31677</v>
      </c>
      <c r="V666" s="7"/>
      <c r="W666" s="7"/>
      <c r="X666" s="7"/>
      <c r="Y666" s="7"/>
      <c r="Z666" s="7"/>
      <c r="AA666" s="7"/>
      <c r="AB666" s="7"/>
      <c r="AC666" s="7"/>
      <c r="AD666" s="7"/>
      <c r="AE666" s="7"/>
      <c r="AF666" s="7"/>
      <c r="AG666" s="7"/>
      <c r="AH666" s="7"/>
      <c r="AI666" s="7"/>
      <c r="AJ666" s="7"/>
      <c r="AK666" s="7"/>
      <c r="AL666" s="7"/>
    </row>
    <row r="667" spans="5:38" ht="15" x14ac:dyDescent="0.25">
      <c r="E667">
        <v>31458</v>
      </c>
      <c r="V667" s="7"/>
      <c r="W667" s="7"/>
      <c r="X667" s="7"/>
      <c r="Y667" s="7"/>
      <c r="Z667" s="7"/>
      <c r="AA667" s="7"/>
      <c r="AB667" s="7"/>
      <c r="AC667" s="7"/>
      <c r="AD667" s="7"/>
      <c r="AE667" s="7"/>
      <c r="AF667" s="7"/>
      <c r="AG667" s="7"/>
      <c r="AH667" s="7"/>
      <c r="AI667" s="7"/>
      <c r="AJ667" s="7"/>
      <c r="AK667" s="7"/>
      <c r="AL667" s="7"/>
    </row>
    <row r="668" spans="5:38" ht="15" x14ac:dyDescent="0.25">
      <c r="E668">
        <v>31835</v>
      </c>
      <c r="V668" s="7"/>
      <c r="W668" s="7"/>
      <c r="X668" s="7"/>
      <c r="Y668" s="7"/>
      <c r="Z668" s="7"/>
      <c r="AA668" s="7"/>
      <c r="AB668" s="7"/>
      <c r="AC668" s="7"/>
      <c r="AD668" s="7"/>
      <c r="AE668" s="7"/>
      <c r="AF668" s="7"/>
      <c r="AG668" s="7"/>
      <c r="AH668" s="7"/>
      <c r="AI668" s="7"/>
      <c r="AJ668" s="7"/>
      <c r="AK668" s="7"/>
      <c r="AL668" s="7"/>
    </row>
    <row r="669" spans="5:38" ht="15" x14ac:dyDescent="0.25">
      <c r="E669">
        <v>31455</v>
      </c>
      <c r="V669" s="7"/>
      <c r="W669" s="7"/>
      <c r="X669" s="7"/>
      <c r="Y669" s="7"/>
      <c r="Z669" s="7"/>
      <c r="AA669" s="7"/>
      <c r="AB669" s="7"/>
      <c r="AC669" s="7"/>
      <c r="AD669" s="7"/>
      <c r="AE669" s="7"/>
      <c r="AF669" s="7"/>
      <c r="AG669" s="7"/>
      <c r="AH669" s="7"/>
      <c r="AI669" s="7"/>
      <c r="AJ669" s="7"/>
      <c r="AK669" s="7"/>
      <c r="AL669" s="7"/>
    </row>
    <row r="670" spans="5:38" ht="15" x14ac:dyDescent="0.25">
      <c r="E670">
        <v>31647</v>
      </c>
      <c r="V670" s="7"/>
      <c r="W670" s="7"/>
      <c r="X670" s="7"/>
      <c r="Y670" s="7"/>
      <c r="Z670" s="7"/>
      <c r="AA670" s="7"/>
      <c r="AB670" s="7"/>
      <c r="AC670" s="7"/>
      <c r="AD670" s="7"/>
      <c r="AE670" s="7"/>
      <c r="AF670" s="7"/>
      <c r="AG670" s="7"/>
      <c r="AH670" s="7"/>
      <c r="AI670" s="7"/>
      <c r="AJ670" s="7"/>
      <c r="AK670" s="7"/>
      <c r="AL670" s="7"/>
    </row>
    <row r="671" spans="5:38" ht="15" x14ac:dyDescent="0.25">
      <c r="E671">
        <v>31676</v>
      </c>
      <c r="V671" s="7"/>
      <c r="W671" s="7"/>
      <c r="X671" s="7"/>
      <c r="Y671" s="7"/>
      <c r="Z671" s="7"/>
      <c r="AA671" s="7"/>
      <c r="AB671" s="7"/>
      <c r="AC671" s="7"/>
      <c r="AD671" s="7"/>
      <c r="AE671" s="7"/>
      <c r="AF671" s="7"/>
      <c r="AG671" s="7"/>
      <c r="AH671" s="7"/>
      <c r="AI671" s="7"/>
      <c r="AJ671" s="7"/>
      <c r="AK671" s="7"/>
      <c r="AL671" s="7"/>
    </row>
    <row r="672" spans="5:38" ht="15" x14ac:dyDescent="0.25">
      <c r="E672">
        <v>31559</v>
      </c>
      <c r="V672" s="7"/>
      <c r="W672" s="7"/>
      <c r="X672" s="7"/>
      <c r="Y672" s="7"/>
      <c r="Z672" s="7"/>
      <c r="AA672" s="7"/>
      <c r="AB672" s="7"/>
      <c r="AC672" s="7"/>
      <c r="AD672" s="7"/>
      <c r="AE672" s="7"/>
      <c r="AF672" s="7"/>
      <c r="AG672" s="7"/>
      <c r="AH672" s="7"/>
      <c r="AI672" s="7"/>
      <c r="AJ672" s="7"/>
      <c r="AK672" s="7"/>
      <c r="AL672" s="7"/>
    </row>
    <row r="673" spans="5:38" ht="15" x14ac:dyDescent="0.25">
      <c r="E673">
        <v>31648</v>
      </c>
      <c r="V673" s="7"/>
      <c r="W673" s="7"/>
      <c r="X673" s="7"/>
      <c r="Y673" s="7"/>
      <c r="Z673" s="7"/>
      <c r="AA673" s="7"/>
      <c r="AB673" s="7"/>
      <c r="AC673" s="7"/>
      <c r="AD673" s="7"/>
      <c r="AE673" s="7"/>
      <c r="AF673" s="7"/>
      <c r="AG673" s="7"/>
      <c r="AH673" s="7"/>
      <c r="AI673" s="7"/>
      <c r="AJ673" s="7"/>
      <c r="AK673" s="7"/>
      <c r="AL673" s="7"/>
    </row>
    <row r="674" spans="5:38" ht="15" x14ac:dyDescent="0.25">
      <c r="E674">
        <v>31454</v>
      </c>
      <c r="V674" s="7"/>
      <c r="W674" s="7"/>
      <c r="X674" s="7"/>
      <c r="Y674" s="7"/>
      <c r="Z674" s="7"/>
      <c r="AA674" s="7"/>
      <c r="AB674" s="7"/>
      <c r="AC674" s="7"/>
      <c r="AD674" s="7"/>
      <c r="AE674" s="7"/>
      <c r="AF674" s="7"/>
      <c r="AG674" s="7"/>
      <c r="AH674" s="7"/>
      <c r="AI674" s="7"/>
      <c r="AJ674" s="7"/>
      <c r="AK674" s="7"/>
      <c r="AL674" s="7"/>
    </row>
    <row r="675" spans="5:38" ht="15" x14ac:dyDescent="0.25">
      <c r="E675">
        <v>31759</v>
      </c>
      <c r="V675" s="7"/>
      <c r="W675" s="7"/>
      <c r="X675" s="7"/>
      <c r="Y675" s="7"/>
      <c r="Z675" s="7"/>
      <c r="AA675" s="7"/>
      <c r="AB675" s="7"/>
      <c r="AC675" s="7"/>
      <c r="AD675" s="7"/>
      <c r="AE675" s="7"/>
      <c r="AF675" s="7"/>
      <c r="AG675" s="7"/>
      <c r="AH675" s="7"/>
      <c r="AI675" s="7"/>
      <c r="AJ675" s="7"/>
      <c r="AK675" s="7"/>
      <c r="AL675" s="7"/>
    </row>
    <row r="676" spans="5:38" ht="15" x14ac:dyDescent="0.25">
      <c r="E676">
        <v>31754</v>
      </c>
      <c r="V676" s="7"/>
      <c r="W676" s="7"/>
      <c r="X676" s="7"/>
      <c r="Y676" s="7"/>
      <c r="Z676" s="7"/>
      <c r="AA676" s="7"/>
      <c r="AB676" s="7"/>
      <c r="AC676" s="7"/>
      <c r="AD676" s="7"/>
      <c r="AE676" s="7"/>
      <c r="AF676" s="7"/>
      <c r="AG676" s="7"/>
      <c r="AH676" s="7"/>
      <c r="AI676" s="7"/>
      <c r="AJ676" s="7"/>
      <c r="AK676" s="7"/>
      <c r="AL676" s="7"/>
    </row>
    <row r="677" spans="5:38" ht="15" x14ac:dyDescent="0.25">
      <c r="E677">
        <v>31459</v>
      </c>
      <c r="V677" s="7"/>
      <c r="W677" s="7"/>
      <c r="X677" s="7"/>
      <c r="Y677" s="7"/>
      <c r="Z677" s="7"/>
      <c r="AA677" s="7"/>
      <c r="AB677" s="7"/>
      <c r="AC677" s="7"/>
      <c r="AD677" s="7"/>
      <c r="AE677" s="7"/>
      <c r="AF677" s="7"/>
      <c r="AG677" s="7"/>
      <c r="AH677" s="7"/>
      <c r="AI677" s="7"/>
      <c r="AJ677" s="7"/>
      <c r="AK677" s="7"/>
      <c r="AL677" s="7"/>
    </row>
    <row r="678" spans="5:38" ht="15" x14ac:dyDescent="0.25">
      <c r="E678">
        <v>31683</v>
      </c>
      <c r="V678" s="7"/>
      <c r="W678" s="7"/>
      <c r="X678" s="7"/>
      <c r="Y678" s="7"/>
      <c r="Z678" s="7"/>
      <c r="AA678" s="7"/>
      <c r="AB678" s="7"/>
      <c r="AC678" s="7"/>
      <c r="AD678" s="7"/>
      <c r="AE678" s="7"/>
      <c r="AF678" s="7"/>
      <c r="AG678" s="7"/>
      <c r="AH678" s="7"/>
      <c r="AI678" s="7"/>
      <c r="AJ678" s="7"/>
      <c r="AK678" s="7"/>
      <c r="AL678" s="7"/>
    </row>
    <row r="679" spans="5:38" ht="15" x14ac:dyDescent="0.25">
      <c r="E679">
        <v>31837</v>
      </c>
      <c r="V679" s="7"/>
      <c r="W679" s="7"/>
      <c r="X679" s="7"/>
      <c r="Y679" s="7"/>
      <c r="Z679" s="7"/>
      <c r="AA679" s="7"/>
      <c r="AB679" s="7"/>
      <c r="AC679" s="7"/>
      <c r="AD679" s="7"/>
      <c r="AE679" s="7"/>
      <c r="AF679" s="7"/>
      <c r="AG679" s="7"/>
      <c r="AH679" s="7"/>
      <c r="AI679" s="7"/>
      <c r="AJ679" s="7"/>
      <c r="AK679" s="7"/>
      <c r="AL679" s="7"/>
    </row>
    <row r="680" spans="5:38" ht="15" x14ac:dyDescent="0.25">
      <c r="E680">
        <v>31766</v>
      </c>
      <c r="V680" s="7"/>
      <c r="W680" s="7"/>
      <c r="X680" s="7"/>
      <c r="Y680" s="7"/>
      <c r="Z680" s="7"/>
      <c r="AA680" s="7"/>
      <c r="AB680" s="7"/>
      <c r="AC680" s="7"/>
      <c r="AD680" s="7"/>
      <c r="AE680" s="7"/>
      <c r="AF680" s="7"/>
      <c r="AG680" s="7"/>
      <c r="AH680" s="7"/>
      <c r="AI680" s="7"/>
      <c r="AJ680" s="7"/>
      <c r="AK680" s="7"/>
      <c r="AL680" s="7"/>
    </row>
    <row r="681" spans="5:38" ht="15" x14ac:dyDescent="0.25">
      <c r="E681">
        <v>31678</v>
      </c>
      <c r="V681" s="7"/>
      <c r="W681" s="7"/>
      <c r="X681" s="7"/>
      <c r="Y681" s="7"/>
      <c r="Z681" s="7"/>
      <c r="AA681" s="7"/>
      <c r="AB681" s="7"/>
      <c r="AC681" s="7"/>
      <c r="AD681" s="7"/>
      <c r="AE681" s="7"/>
      <c r="AF681" s="7"/>
      <c r="AG681" s="7"/>
      <c r="AH681" s="7"/>
      <c r="AI681" s="7"/>
      <c r="AJ681" s="7"/>
      <c r="AK681" s="7"/>
      <c r="AL681" s="7"/>
    </row>
    <row r="682" spans="5:38" ht="15" x14ac:dyDescent="0.25">
      <c r="E682">
        <v>31491</v>
      </c>
      <c r="V682" s="7"/>
      <c r="W682" s="7"/>
      <c r="X682" s="7"/>
      <c r="Y682" s="7"/>
      <c r="Z682" s="7"/>
      <c r="AA682" s="7"/>
      <c r="AB682" s="7"/>
      <c r="AC682" s="7"/>
      <c r="AD682" s="7"/>
      <c r="AE682" s="7"/>
      <c r="AF682" s="7"/>
      <c r="AG682" s="7"/>
      <c r="AH682" s="7"/>
      <c r="AI682" s="7"/>
      <c r="AJ682" s="7"/>
      <c r="AK682" s="7"/>
      <c r="AL682" s="7"/>
    </row>
    <row r="683" spans="5:38" ht="15" x14ac:dyDescent="0.25">
      <c r="E683">
        <v>31558</v>
      </c>
      <c r="V683" s="7"/>
      <c r="W683" s="7"/>
      <c r="X683" s="7"/>
      <c r="Y683" s="7"/>
      <c r="Z683" s="7"/>
      <c r="AA683" s="7"/>
      <c r="AB683" s="7"/>
      <c r="AC683" s="7"/>
      <c r="AD683" s="7"/>
      <c r="AE683" s="7"/>
      <c r="AF683" s="7"/>
      <c r="AG683" s="7"/>
      <c r="AH683" s="7"/>
      <c r="AI683" s="7"/>
      <c r="AJ683" s="7"/>
      <c r="AK683" s="7"/>
      <c r="AL683" s="7"/>
    </row>
    <row r="684" spans="5:38" ht="15" x14ac:dyDescent="0.25">
      <c r="E684">
        <v>31573</v>
      </c>
      <c r="V684" s="7"/>
      <c r="W684" s="7"/>
      <c r="X684" s="7"/>
      <c r="Y684" s="7"/>
      <c r="Z684" s="7"/>
      <c r="AA684" s="7"/>
      <c r="AB684" s="7"/>
      <c r="AC684" s="7"/>
      <c r="AD684" s="7"/>
      <c r="AE684" s="7"/>
      <c r="AF684" s="7"/>
      <c r="AG684" s="7"/>
      <c r="AH684" s="7"/>
      <c r="AI684" s="7"/>
      <c r="AJ684" s="7"/>
      <c r="AK684" s="7"/>
      <c r="AL684" s="7"/>
    </row>
    <row r="685" spans="5:38" ht="15" x14ac:dyDescent="0.25">
      <c r="E685">
        <v>31761</v>
      </c>
      <c r="V685" s="7"/>
      <c r="W685" s="7"/>
      <c r="X685" s="7"/>
      <c r="Y685" s="7"/>
      <c r="Z685" s="7"/>
      <c r="AA685" s="7"/>
      <c r="AB685" s="7"/>
      <c r="AC685" s="7"/>
      <c r="AD685" s="7"/>
      <c r="AE685" s="7"/>
      <c r="AF685" s="7"/>
      <c r="AG685" s="7"/>
      <c r="AH685" s="7"/>
      <c r="AI685" s="7"/>
      <c r="AJ685" s="7"/>
      <c r="AK685" s="7"/>
      <c r="AL685" s="7"/>
    </row>
    <row r="686" spans="5:38" ht="15" x14ac:dyDescent="0.25">
      <c r="E686">
        <v>31538</v>
      </c>
      <c r="V686" s="7"/>
      <c r="W686" s="7"/>
      <c r="X686" s="7"/>
      <c r="Y686" s="7"/>
      <c r="Z686" s="7"/>
      <c r="AA686" s="7"/>
      <c r="AB686" s="7"/>
      <c r="AC686" s="7"/>
      <c r="AD686" s="7"/>
      <c r="AE686" s="7"/>
      <c r="AF686" s="7"/>
      <c r="AG686" s="7"/>
      <c r="AH686" s="7"/>
      <c r="AI686" s="7"/>
      <c r="AJ686" s="7"/>
      <c r="AK686" s="7"/>
      <c r="AL686" s="7"/>
    </row>
    <row r="687" spans="5:38" ht="15" x14ac:dyDescent="0.25">
      <c r="E687">
        <v>31738</v>
      </c>
      <c r="V687" s="7"/>
      <c r="W687" s="7"/>
      <c r="X687" s="7"/>
      <c r="Y687" s="7"/>
      <c r="Z687" s="7"/>
      <c r="AA687" s="7"/>
      <c r="AB687" s="7"/>
      <c r="AC687" s="7"/>
      <c r="AD687" s="7"/>
      <c r="AE687" s="7"/>
      <c r="AF687" s="7"/>
      <c r="AG687" s="7"/>
      <c r="AH687" s="7"/>
      <c r="AI687" s="7"/>
      <c r="AJ687" s="7"/>
      <c r="AK687" s="7"/>
      <c r="AL687" s="7"/>
    </row>
    <row r="688" spans="5:38" ht="15" x14ac:dyDescent="0.25">
      <c r="E688">
        <v>31575</v>
      </c>
      <c r="V688" s="7"/>
      <c r="W688" s="7"/>
      <c r="X688" s="7"/>
      <c r="Y688" s="7"/>
      <c r="Z688" s="7"/>
      <c r="AA688" s="7"/>
      <c r="AB688" s="7"/>
      <c r="AC688" s="7"/>
      <c r="AD688" s="7"/>
      <c r="AE688" s="7"/>
      <c r="AF688" s="7"/>
      <c r="AG688" s="7"/>
      <c r="AH688" s="7"/>
      <c r="AI688" s="7"/>
      <c r="AJ688" s="7"/>
      <c r="AK688" s="7"/>
      <c r="AL688" s="7"/>
    </row>
    <row r="689" spans="5:38" ht="15" x14ac:dyDescent="0.25">
      <c r="E689">
        <v>31750</v>
      </c>
      <c r="V689" s="7"/>
      <c r="W689" s="7"/>
      <c r="X689" s="7"/>
      <c r="Y689" s="7"/>
      <c r="Z689" s="7"/>
      <c r="AA689" s="7"/>
      <c r="AB689" s="7"/>
      <c r="AC689" s="7"/>
      <c r="AD689" s="7"/>
      <c r="AE689" s="7"/>
      <c r="AF689" s="7"/>
      <c r="AG689" s="7"/>
      <c r="AH689" s="7"/>
      <c r="AI689" s="7"/>
      <c r="AJ689" s="7"/>
      <c r="AK689" s="7"/>
      <c r="AL689" s="7"/>
    </row>
    <row r="690" spans="5:38" ht="15" x14ac:dyDescent="0.25">
      <c r="E690">
        <v>31671</v>
      </c>
      <c r="V690" s="7"/>
      <c r="W690" s="7"/>
      <c r="X690" s="7"/>
      <c r="Y690" s="7"/>
      <c r="Z690" s="7"/>
      <c r="AA690" s="7"/>
      <c r="AB690" s="7"/>
      <c r="AC690" s="7"/>
      <c r="AD690" s="7"/>
      <c r="AE690" s="7"/>
      <c r="AF690" s="7"/>
      <c r="AG690" s="7"/>
      <c r="AH690" s="7"/>
      <c r="AI690" s="7"/>
      <c r="AJ690" s="7"/>
      <c r="AK690" s="7"/>
      <c r="AL690" s="7"/>
    </row>
    <row r="691" spans="5:38" ht="15" x14ac:dyDescent="0.25">
      <c r="E691">
        <v>31675</v>
      </c>
      <c r="V691" s="7"/>
      <c r="W691" s="7"/>
      <c r="X691" s="7"/>
      <c r="Y691" s="7"/>
      <c r="Z691" s="7"/>
      <c r="AA691" s="7"/>
      <c r="AB691" s="7"/>
      <c r="AC691" s="7"/>
      <c r="AD691" s="7"/>
      <c r="AE691" s="7"/>
      <c r="AF691" s="7"/>
      <c r="AG691" s="7"/>
      <c r="AH691" s="7"/>
      <c r="AI691" s="7"/>
      <c r="AJ691" s="7"/>
      <c r="AK691" s="7"/>
      <c r="AL691" s="7"/>
    </row>
    <row r="692" spans="5:38" ht="15" x14ac:dyDescent="0.25">
      <c r="E692">
        <v>31594</v>
      </c>
      <c r="V692" s="7"/>
      <c r="W692" s="7"/>
      <c r="X692" s="7"/>
      <c r="Y692" s="7"/>
      <c r="Z692" s="7"/>
      <c r="AA692" s="7"/>
      <c r="AB692" s="7"/>
      <c r="AC692" s="7"/>
      <c r="AD692" s="7"/>
      <c r="AE692" s="7"/>
      <c r="AF692" s="7"/>
      <c r="AG692" s="7"/>
      <c r="AH692" s="7"/>
      <c r="AI692" s="7"/>
      <c r="AJ692" s="7"/>
      <c r="AK692" s="7"/>
      <c r="AL692" s="7"/>
    </row>
    <row r="693" spans="5:38" ht="15" x14ac:dyDescent="0.25">
      <c r="E693">
        <v>31739</v>
      </c>
      <c r="V693" s="7"/>
      <c r="W693" s="7"/>
      <c r="X693" s="7"/>
      <c r="Y693" s="7"/>
      <c r="Z693" s="7"/>
      <c r="AA693" s="7"/>
      <c r="AB693" s="7"/>
      <c r="AC693" s="7"/>
      <c r="AD693" s="7"/>
      <c r="AE693" s="7"/>
      <c r="AF693" s="7"/>
      <c r="AG693" s="7"/>
      <c r="AH693" s="7"/>
      <c r="AI693" s="7"/>
      <c r="AJ693" s="7"/>
      <c r="AK693" s="7"/>
      <c r="AL693" s="7"/>
    </row>
    <row r="694" spans="5:38" ht="15" x14ac:dyDescent="0.25">
      <c r="E694">
        <v>31480</v>
      </c>
      <c r="V694" s="7"/>
      <c r="W694" s="7"/>
      <c r="X694" s="7"/>
      <c r="Y694" s="7"/>
      <c r="Z694" s="7"/>
      <c r="AA694" s="7"/>
      <c r="AB694" s="7"/>
      <c r="AC694" s="7"/>
      <c r="AD694" s="7"/>
      <c r="AE694" s="7"/>
      <c r="AF694" s="7"/>
      <c r="AG694" s="7"/>
      <c r="AH694" s="7"/>
      <c r="AI694" s="7"/>
      <c r="AJ694" s="7"/>
      <c r="AK694" s="7"/>
      <c r="AL694" s="7"/>
    </row>
    <row r="695" spans="5:38" ht="15" x14ac:dyDescent="0.25">
      <c r="E695">
        <v>31457</v>
      </c>
      <c r="V695" s="7"/>
      <c r="W695" s="7"/>
      <c r="X695" s="7"/>
      <c r="Y695" s="7"/>
      <c r="Z695" s="7"/>
      <c r="AA695" s="7"/>
      <c r="AB695" s="7"/>
      <c r="AC695" s="7"/>
      <c r="AD695" s="7"/>
      <c r="AE695" s="7"/>
      <c r="AF695" s="7"/>
      <c r="AG695" s="7"/>
      <c r="AH695" s="7"/>
      <c r="AI695" s="7"/>
      <c r="AJ695" s="7"/>
      <c r="AK695" s="7"/>
      <c r="AL695" s="7"/>
    </row>
    <row r="696" spans="5:38" ht="15" x14ac:dyDescent="0.25">
      <c r="E696">
        <v>31475</v>
      </c>
      <c r="V696" s="7"/>
      <c r="W696" s="7"/>
      <c r="X696" s="7"/>
      <c r="Y696" s="7"/>
      <c r="Z696" s="7"/>
      <c r="AA696" s="7"/>
      <c r="AB696" s="7"/>
      <c r="AC696" s="7"/>
      <c r="AD696" s="7"/>
      <c r="AE696" s="7"/>
      <c r="AF696" s="7"/>
      <c r="AG696" s="7"/>
      <c r="AH696" s="7"/>
      <c r="AI696" s="7"/>
      <c r="AJ696" s="7"/>
      <c r="AK696" s="7"/>
      <c r="AL696" s="7"/>
    </row>
    <row r="697" spans="5:38" ht="15" x14ac:dyDescent="0.25">
      <c r="E697">
        <v>31752</v>
      </c>
      <c r="V697" s="7"/>
      <c r="W697" s="7"/>
      <c r="X697" s="7"/>
      <c r="Y697" s="7"/>
      <c r="Z697" s="7"/>
      <c r="AA697" s="7"/>
      <c r="AB697" s="7"/>
      <c r="AC697" s="7"/>
      <c r="AD697" s="7"/>
      <c r="AE697" s="7"/>
      <c r="AF697" s="7"/>
      <c r="AG697" s="7"/>
      <c r="AH697" s="7"/>
      <c r="AI697" s="7"/>
      <c r="AJ697" s="7"/>
      <c r="AK697" s="7"/>
      <c r="AL697" s="7"/>
    </row>
    <row r="698" spans="5:38" ht="15" x14ac:dyDescent="0.25">
      <c r="E698">
        <v>31679</v>
      </c>
      <c r="V698" s="7"/>
      <c r="W698" s="7"/>
      <c r="X698" s="7"/>
      <c r="Y698" s="7"/>
      <c r="Z698" s="7"/>
      <c r="AA698" s="7"/>
      <c r="AB698" s="7"/>
      <c r="AC698" s="7"/>
      <c r="AD698" s="7"/>
      <c r="AE698" s="7"/>
      <c r="AF698" s="7"/>
      <c r="AG698" s="7"/>
      <c r="AH698" s="7"/>
      <c r="AI698" s="7"/>
      <c r="AJ698" s="7"/>
      <c r="AK698" s="7"/>
      <c r="AL698" s="7"/>
    </row>
    <row r="699" spans="5:38" ht="15" x14ac:dyDescent="0.25">
      <c r="E699">
        <v>31482</v>
      </c>
      <c r="V699" s="7"/>
      <c r="W699" s="7"/>
      <c r="X699" s="7"/>
      <c r="Y699" s="7"/>
      <c r="Z699" s="7"/>
      <c r="AA699" s="7"/>
      <c r="AB699" s="7"/>
      <c r="AC699" s="7"/>
      <c r="AD699" s="7"/>
      <c r="AE699" s="7"/>
      <c r="AF699" s="7"/>
      <c r="AG699" s="7"/>
      <c r="AH699" s="7"/>
      <c r="AI699" s="7"/>
      <c r="AJ699" s="7"/>
      <c r="AK699" s="7"/>
      <c r="AL699" s="7"/>
    </row>
    <row r="700" spans="5:38" ht="15" x14ac:dyDescent="0.25">
      <c r="E700">
        <v>31652</v>
      </c>
      <c r="V700" s="7"/>
      <c r="W700" s="7"/>
      <c r="X700" s="7"/>
      <c r="Y700" s="7"/>
      <c r="Z700" s="7"/>
      <c r="AA700" s="7"/>
      <c r="AB700" s="7"/>
      <c r="AC700" s="7"/>
      <c r="AD700" s="7"/>
      <c r="AE700" s="7"/>
      <c r="AF700" s="7"/>
      <c r="AG700" s="7"/>
      <c r="AH700" s="7"/>
      <c r="AI700" s="7"/>
      <c r="AJ700" s="7"/>
      <c r="AK700" s="7"/>
      <c r="AL700" s="7"/>
    </row>
    <row r="701" spans="5:38" ht="15" x14ac:dyDescent="0.25">
      <c r="E701">
        <v>31767</v>
      </c>
      <c r="V701" s="7"/>
      <c r="W701" s="7"/>
      <c r="X701" s="7"/>
      <c r="Y701" s="7"/>
      <c r="Z701" s="7"/>
      <c r="AA701" s="7"/>
      <c r="AB701" s="7"/>
      <c r="AC701" s="7"/>
      <c r="AD701" s="7"/>
      <c r="AE701" s="7"/>
      <c r="AF701" s="7"/>
      <c r="AG701" s="7"/>
      <c r="AH701" s="7"/>
      <c r="AI701" s="7"/>
      <c r="AJ701" s="7"/>
      <c r="AK701" s="7"/>
      <c r="AL701" s="7"/>
    </row>
    <row r="702" spans="5:38" ht="15" x14ac:dyDescent="0.25">
      <c r="E702">
        <v>31596</v>
      </c>
      <c r="V702" s="7"/>
      <c r="W702" s="7"/>
      <c r="X702" s="7"/>
      <c r="Y702" s="7"/>
      <c r="Z702" s="7"/>
      <c r="AA702" s="7"/>
      <c r="AB702" s="7"/>
      <c r="AC702" s="7"/>
      <c r="AD702" s="7"/>
      <c r="AE702" s="7"/>
      <c r="AF702" s="7"/>
      <c r="AG702" s="7"/>
      <c r="AH702" s="7"/>
      <c r="AI702" s="7"/>
      <c r="AJ702" s="7"/>
      <c r="AK702" s="7"/>
      <c r="AL702" s="7"/>
    </row>
    <row r="703" spans="5:38" ht="15" x14ac:dyDescent="0.25">
      <c r="E703">
        <v>31756</v>
      </c>
      <c r="V703" s="7"/>
      <c r="W703" s="7"/>
      <c r="X703" s="7"/>
      <c r="Y703" s="7"/>
      <c r="Z703" s="7"/>
      <c r="AA703" s="7"/>
      <c r="AB703" s="7"/>
      <c r="AC703" s="7"/>
      <c r="AD703" s="7"/>
      <c r="AE703" s="7"/>
      <c r="AF703" s="7"/>
      <c r="AG703" s="7"/>
      <c r="AH703" s="7"/>
      <c r="AI703" s="7"/>
      <c r="AJ703" s="7"/>
      <c r="AK703" s="7"/>
      <c r="AL703" s="7"/>
    </row>
    <row r="704" spans="5:38" ht="15" x14ac:dyDescent="0.25">
      <c r="E704">
        <v>31597</v>
      </c>
      <c r="V704" s="7"/>
      <c r="W704" s="7"/>
      <c r="X704" s="7"/>
      <c r="Y704" s="7"/>
      <c r="Z704" s="7"/>
      <c r="AA704" s="7"/>
      <c r="AB704" s="7"/>
      <c r="AC704" s="7"/>
      <c r="AD704" s="7"/>
      <c r="AE704" s="7"/>
      <c r="AF704" s="7"/>
      <c r="AG704" s="7"/>
      <c r="AH704" s="7"/>
      <c r="AI704" s="7"/>
      <c r="AJ704" s="7"/>
      <c r="AK704" s="7"/>
      <c r="AL704" s="7"/>
    </row>
    <row r="705" spans="5:38" ht="15" x14ac:dyDescent="0.25">
      <c r="E705">
        <v>31787</v>
      </c>
      <c r="V705" s="7"/>
      <c r="W705" s="7"/>
      <c r="X705" s="7"/>
      <c r="Y705" s="7"/>
      <c r="Z705" s="7"/>
      <c r="AA705" s="7"/>
      <c r="AB705" s="7"/>
      <c r="AC705" s="7"/>
      <c r="AD705" s="7"/>
      <c r="AE705" s="7"/>
      <c r="AF705" s="7"/>
      <c r="AG705" s="7"/>
      <c r="AH705" s="7"/>
      <c r="AI705" s="7"/>
      <c r="AJ705" s="7"/>
      <c r="AK705" s="7"/>
      <c r="AL705" s="7"/>
    </row>
    <row r="706" spans="5:38" ht="15" x14ac:dyDescent="0.25">
      <c r="E706">
        <v>31474</v>
      </c>
      <c r="V706" s="7"/>
      <c r="W706" s="7"/>
      <c r="X706" s="7"/>
      <c r="Y706" s="7"/>
      <c r="Z706" s="7"/>
      <c r="AA706" s="7"/>
      <c r="AB706" s="7"/>
      <c r="AC706" s="7"/>
      <c r="AD706" s="7"/>
      <c r="AE706" s="7"/>
      <c r="AF706" s="7"/>
      <c r="AG706" s="7"/>
      <c r="AH706" s="7"/>
      <c r="AI706" s="7"/>
      <c r="AJ706" s="7"/>
      <c r="AK706" s="7"/>
      <c r="AL706" s="7"/>
    </row>
    <row r="707" spans="5:38" ht="15" x14ac:dyDescent="0.25">
      <c r="E707">
        <v>31537</v>
      </c>
      <c r="V707" s="7"/>
      <c r="W707" s="7"/>
      <c r="X707" s="7"/>
      <c r="Y707" s="7"/>
      <c r="Z707" s="7"/>
      <c r="AA707" s="7"/>
      <c r="AB707" s="7"/>
      <c r="AC707" s="7"/>
      <c r="AD707" s="7"/>
      <c r="AE707" s="7"/>
      <c r="AF707" s="7"/>
      <c r="AG707" s="7"/>
      <c r="AH707" s="7"/>
      <c r="AI707" s="7"/>
      <c r="AJ707" s="7"/>
      <c r="AK707" s="7"/>
      <c r="AL707" s="7"/>
    </row>
    <row r="708" spans="5:38" ht="15" x14ac:dyDescent="0.25">
      <c r="E708">
        <v>31577</v>
      </c>
      <c r="V708" s="7"/>
      <c r="W708" s="7"/>
      <c r="X708" s="7"/>
      <c r="Y708" s="7"/>
      <c r="Z708" s="7"/>
      <c r="AA708" s="7"/>
      <c r="AB708" s="7"/>
      <c r="AC708" s="7"/>
      <c r="AD708" s="7"/>
      <c r="AE708" s="7"/>
      <c r="AF708" s="7"/>
      <c r="AG708" s="7"/>
      <c r="AH708" s="7"/>
      <c r="AI708" s="7"/>
      <c r="AJ708" s="7"/>
      <c r="AK708" s="7"/>
      <c r="AL708" s="7"/>
    </row>
    <row r="709" spans="5:38" ht="15" x14ac:dyDescent="0.25">
      <c r="E709">
        <v>31834</v>
      </c>
      <c r="V709" s="7"/>
      <c r="W709" s="7"/>
      <c r="X709" s="7"/>
      <c r="Y709" s="7"/>
      <c r="Z709" s="7"/>
      <c r="AA709" s="7"/>
      <c r="AB709" s="7"/>
      <c r="AC709" s="7"/>
      <c r="AD709" s="7"/>
      <c r="AE709" s="7"/>
      <c r="AF709" s="7"/>
      <c r="AG709" s="7"/>
      <c r="AH709" s="7"/>
      <c r="AI709" s="7"/>
      <c r="AJ709" s="7"/>
      <c r="AK709" s="7"/>
      <c r="AL709" s="7"/>
    </row>
    <row r="710" spans="5:38" ht="15" x14ac:dyDescent="0.25">
      <c r="E710">
        <v>31477</v>
      </c>
      <c r="V710" s="7"/>
      <c r="W710" s="7"/>
      <c r="X710" s="7"/>
      <c r="Y710" s="7"/>
      <c r="Z710" s="7"/>
      <c r="AA710" s="7"/>
      <c r="AB710" s="7"/>
      <c r="AC710" s="7"/>
      <c r="AD710" s="7"/>
      <c r="AE710" s="7"/>
      <c r="AF710" s="7"/>
      <c r="AG710" s="7"/>
      <c r="AH710" s="7"/>
      <c r="AI710" s="7"/>
      <c r="AJ710" s="7"/>
      <c r="AK710" s="7"/>
      <c r="AL710" s="7"/>
    </row>
    <row r="711" spans="5:38" ht="15" x14ac:dyDescent="0.25">
      <c r="E711">
        <v>31490</v>
      </c>
      <c r="V711" s="7"/>
      <c r="W711" s="7"/>
      <c r="X711" s="7"/>
      <c r="Y711" s="7"/>
      <c r="Z711" s="7"/>
      <c r="AA711" s="7"/>
      <c r="AB711" s="7"/>
      <c r="AC711" s="7"/>
      <c r="AD711" s="7"/>
      <c r="AE711" s="7"/>
      <c r="AF711" s="7"/>
      <c r="AG711" s="7"/>
      <c r="AH711" s="7"/>
      <c r="AI711" s="7"/>
      <c r="AJ711" s="7"/>
      <c r="AK711" s="7"/>
      <c r="AL711" s="7"/>
    </row>
    <row r="712" spans="5:38" ht="15" x14ac:dyDescent="0.25">
      <c r="E712">
        <v>31643</v>
      </c>
      <c r="V712" s="7"/>
      <c r="W712" s="7"/>
      <c r="X712" s="7"/>
      <c r="Y712" s="7"/>
      <c r="Z712" s="7"/>
      <c r="AA712" s="7"/>
      <c r="AB712" s="7"/>
      <c r="AC712" s="7"/>
      <c r="AD712" s="7"/>
      <c r="AE712" s="7"/>
      <c r="AF712" s="7"/>
      <c r="AG712" s="7"/>
      <c r="AH712" s="7"/>
      <c r="AI712" s="7"/>
      <c r="AJ712" s="7"/>
      <c r="AK712" s="7"/>
      <c r="AL712" s="7"/>
    </row>
    <row r="713" spans="5:38" ht="15" x14ac:dyDescent="0.25">
      <c r="E713">
        <v>31680</v>
      </c>
      <c r="V713" s="7"/>
      <c r="W713" s="7"/>
      <c r="X713" s="7"/>
      <c r="Y713" s="7"/>
      <c r="Z713" s="7"/>
      <c r="AA713" s="7"/>
      <c r="AB713" s="7"/>
      <c r="AC713" s="7"/>
      <c r="AD713" s="7"/>
      <c r="AE713" s="7"/>
      <c r="AF713" s="7"/>
      <c r="AG713" s="7"/>
      <c r="AH713" s="7"/>
      <c r="AI713" s="7"/>
      <c r="AJ713" s="7"/>
      <c r="AK713" s="7"/>
      <c r="AL713" s="7"/>
    </row>
    <row r="714" spans="5:38" ht="15" x14ac:dyDescent="0.25">
      <c r="E714">
        <v>31742</v>
      </c>
      <c r="V714" s="7"/>
      <c r="W714" s="7"/>
      <c r="X714" s="7"/>
      <c r="Y714" s="7"/>
      <c r="Z714" s="7"/>
      <c r="AA714" s="7"/>
      <c r="AB714" s="7"/>
      <c r="AC714" s="7"/>
      <c r="AD714" s="7"/>
      <c r="AE714" s="7"/>
      <c r="AF714" s="7"/>
      <c r="AG714" s="7"/>
      <c r="AH714" s="7"/>
      <c r="AI714" s="7"/>
      <c r="AJ714" s="7"/>
      <c r="AK714" s="7"/>
      <c r="AL714" s="7"/>
    </row>
    <row r="715" spans="5:38" ht="15" x14ac:dyDescent="0.25">
      <c r="E715">
        <v>31486</v>
      </c>
      <c r="V715" s="7"/>
      <c r="W715" s="7"/>
      <c r="X715" s="7"/>
      <c r="Y715" s="7"/>
      <c r="Z715" s="7"/>
      <c r="AA715" s="7"/>
      <c r="AB715" s="7"/>
      <c r="AC715" s="7"/>
      <c r="AD715" s="7"/>
      <c r="AE715" s="7"/>
      <c r="AF715" s="7"/>
      <c r="AG715" s="7"/>
      <c r="AH715" s="7"/>
      <c r="AI715" s="7"/>
      <c r="AJ715" s="7"/>
      <c r="AK715" s="7"/>
      <c r="AL715" s="7"/>
    </row>
    <row r="716" spans="5:38" ht="15" x14ac:dyDescent="0.25">
      <c r="E716">
        <v>31836</v>
      </c>
      <c r="V716" s="7"/>
      <c r="W716" s="7"/>
      <c r="X716" s="7"/>
      <c r="Y716" s="7"/>
      <c r="Z716" s="7"/>
      <c r="AA716" s="7"/>
      <c r="AB716" s="7"/>
      <c r="AC716" s="7"/>
      <c r="AD716" s="7"/>
      <c r="AE716" s="7"/>
      <c r="AF716" s="7"/>
      <c r="AG716" s="7"/>
      <c r="AH716" s="7"/>
      <c r="AI716" s="7"/>
      <c r="AJ716" s="7"/>
      <c r="AK716" s="7"/>
      <c r="AL716" s="7"/>
    </row>
    <row r="717" spans="5:38" ht="15" x14ac:dyDescent="0.25">
      <c r="E717">
        <v>31476</v>
      </c>
      <c r="V717" s="7"/>
      <c r="W717" s="7"/>
      <c r="X717" s="7"/>
      <c r="Y717" s="7"/>
      <c r="Z717" s="7"/>
      <c r="AA717" s="7"/>
      <c r="AB717" s="7"/>
      <c r="AC717" s="7"/>
      <c r="AD717" s="7"/>
      <c r="AE717" s="7"/>
      <c r="AF717" s="7"/>
      <c r="AG717" s="7"/>
      <c r="AH717" s="7"/>
      <c r="AI717" s="7"/>
      <c r="AJ717" s="7"/>
      <c r="AK717" s="7"/>
      <c r="AL717" s="7"/>
    </row>
    <row r="718" spans="5:38" ht="15" x14ac:dyDescent="0.25">
      <c r="E718">
        <v>31737</v>
      </c>
      <c r="V718" s="7"/>
      <c r="W718" s="7"/>
      <c r="X718" s="7"/>
      <c r="Y718" s="7"/>
      <c r="Z718" s="7"/>
      <c r="AA718" s="7"/>
      <c r="AB718" s="7"/>
      <c r="AC718" s="7"/>
      <c r="AD718" s="7"/>
      <c r="AE718" s="7"/>
      <c r="AF718" s="7"/>
      <c r="AG718" s="7"/>
      <c r="AH718" s="7"/>
      <c r="AI718" s="7"/>
      <c r="AJ718" s="7"/>
      <c r="AK718" s="7"/>
      <c r="AL718" s="7"/>
    </row>
    <row r="719" spans="5:38" ht="15" x14ac:dyDescent="0.25">
      <c r="E719">
        <v>31684</v>
      </c>
      <c r="V719" s="7"/>
      <c r="W719" s="7"/>
      <c r="X719" s="7"/>
      <c r="Y719" s="7"/>
      <c r="Z719" s="7"/>
      <c r="AA719" s="7"/>
      <c r="AB719" s="7"/>
      <c r="AC719" s="7"/>
      <c r="AD719" s="7"/>
      <c r="AE719" s="7"/>
      <c r="AF719" s="7"/>
      <c r="AG719" s="7"/>
      <c r="AH719" s="7"/>
      <c r="AI719" s="7"/>
      <c r="AJ719" s="7"/>
      <c r="AK719" s="7"/>
      <c r="AL719" s="7"/>
    </row>
    <row r="720" spans="5:38" ht="15" x14ac:dyDescent="0.25">
      <c r="E720">
        <v>31526</v>
      </c>
      <c r="V720" s="7"/>
      <c r="W720" s="7"/>
      <c r="X720" s="7"/>
      <c r="Y720" s="7"/>
      <c r="Z720" s="7"/>
      <c r="AA720" s="7"/>
      <c r="AB720" s="7"/>
      <c r="AC720" s="7"/>
      <c r="AD720" s="7"/>
      <c r="AE720" s="7"/>
      <c r="AF720" s="7"/>
      <c r="AG720" s="7"/>
      <c r="AH720" s="7"/>
      <c r="AI720" s="7"/>
      <c r="AJ720" s="7"/>
      <c r="AK720" s="7"/>
      <c r="AL720" s="7"/>
    </row>
    <row r="721" spans="5:38" ht="15" x14ac:dyDescent="0.25">
      <c r="E721">
        <v>31833</v>
      </c>
      <c r="V721" s="7"/>
      <c r="W721" s="7"/>
      <c r="X721" s="7"/>
      <c r="Y721" s="7"/>
      <c r="Z721" s="7"/>
      <c r="AA721" s="7"/>
      <c r="AB721" s="7"/>
      <c r="AC721" s="7"/>
      <c r="AD721" s="7"/>
      <c r="AE721" s="7"/>
      <c r="AF721" s="7"/>
      <c r="AG721" s="7"/>
      <c r="AH721" s="7"/>
      <c r="AI721" s="7"/>
      <c r="AJ721" s="7"/>
      <c r="AK721" s="7"/>
      <c r="AL721" s="7"/>
    </row>
    <row r="722" spans="5:38" ht="15" x14ac:dyDescent="0.25">
      <c r="E722">
        <v>31641</v>
      </c>
      <c r="V722" s="7"/>
      <c r="W722" s="7"/>
      <c r="X722" s="7"/>
      <c r="Y722" s="7"/>
      <c r="Z722" s="7"/>
      <c r="AA722" s="7"/>
      <c r="AB722" s="7"/>
      <c r="AC722" s="7"/>
      <c r="AD722" s="7"/>
      <c r="AE722" s="7"/>
      <c r="AF722" s="7"/>
      <c r="AG722" s="7"/>
      <c r="AH722" s="7"/>
      <c r="AI722" s="7"/>
      <c r="AJ722" s="7"/>
      <c r="AK722" s="7"/>
      <c r="AL722" s="7"/>
    </row>
    <row r="723" spans="5:38" ht="15" x14ac:dyDescent="0.25">
      <c r="E723">
        <v>31639</v>
      </c>
      <c r="V723" s="7"/>
      <c r="W723" s="7"/>
      <c r="X723" s="7"/>
      <c r="Y723" s="7"/>
      <c r="Z723" s="7"/>
      <c r="AA723" s="7"/>
      <c r="AB723" s="7"/>
      <c r="AC723" s="7"/>
      <c r="AD723" s="7"/>
      <c r="AE723" s="7"/>
      <c r="AF723" s="7"/>
      <c r="AG723" s="7"/>
      <c r="AH723" s="7"/>
      <c r="AI723" s="7"/>
      <c r="AJ723" s="7"/>
      <c r="AK723" s="7"/>
      <c r="AL723" s="7"/>
    </row>
    <row r="724" spans="5:38" ht="15" x14ac:dyDescent="0.25">
      <c r="E724">
        <v>31692</v>
      </c>
      <c r="V724" s="7"/>
      <c r="W724" s="7"/>
      <c r="X724" s="7"/>
      <c r="Y724" s="7"/>
      <c r="Z724" s="7"/>
      <c r="AA724" s="7"/>
      <c r="AB724" s="7"/>
      <c r="AC724" s="7"/>
      <c r="AD724" s="7"/>
      <c r="AE724" s="7"/>
      <c r="AF724" s="7"/>
      <c r="AG724" s="7"/>
      <c r="AH724" s="7"/>
      <c r="AI724" s="7"/>
      <c r="AJ724" s="7"/>
      <c r="AK724" s="7"/>
      <c r="AL724" s="7"/>
    </row>
    <row r="725" spans="5:38" ht="15" x14ac:dyDescent="0.25">
      <c r="E725">
        <v>31788</v>
      </c>
      <c r="V725" s="7"/>
      <c r="W725" s="7"/>
      <c r="X725" s="7"/>
      <c r="Y725" s="7"/>
      <c r="Z725" s="7"/>
      <c r="AA725" s="7"/>
      <c r="AB725" s="7"/>
      <c r="AC725" s="7"/>
      <c r="AD725" s="7"/>
      <c r="AE725" s="7"/>
      <c r="AF725" s="7"/>
      <c r="AG725" s="7"/>
      <c r="AH725" s="7"/>
      <c r="AI725" s="7"/>
      <c r="AJ725" s="7"/>
      <c r="AK725" s="7"/>
      <c r="AL725" s="7"/>
    </row>
    <row r="726" spans="5:38" ht="15" x14ac:dyDescent="0.25">
      <c r="E726">
        <v>31489</v>
      </c>
      <c r="V726" s="7"/>
      <c r="W726" s="7"/>
      <c r="X726" s="7"/>
      <c r="Y726" s="7"/>
      <c r="Z726" s="7"/>
      <c r="AA726" s="7"/>
      <c r="AB726" s="7"/>
      <c r="AC726" s="7"/>
      <c r="AD726" s="7"/>
      <c r="AE726" s="7"/>
      <c r="AF726" s="7"/>
      <c r="AG726" s="7"/>
      <c r="AH726" s="7"/>
      <c r="AI726" s="7"/>
      <c r="AJ726" s="7"/>
      <c r="AK726" s="7"/>
      <c r="AL726" s="7"/>
    </row>
    <row r="727" spans="5:38" ht="15" x14ac:dyDescent="0.25">
      <c r="E727">
        <v>31715</v>
      </c>
      <c r="V727" s="7"/>
      <c r="W727" s="7"/>
      <c r="X727" s="7"/>
      <c r="Y727" s="7"/>
      <c r="Z727" s="7"/>
      <c r="AA727" s="7"/>
      <c r="AB727" s="7"/>
      <c r="AC727" s="7"/>
      <c r="AD727" s="7"/>
      <c r="AE727" s="7"/>
      <c r="AF727" s="7"/>
      <c r="AG727" s="7"/>
      <c r="AH727" s="7"/>
      <c r="AI727" s="7"/>
      <c r="AJ727" s="7"/>
      <c r="AK727" s="7"/>
      <c r="AL727" s="7"/>
    </row>
    <row r="728" spans="5:38" ht="15" x14ac:dyDescent="0.25">
      <c r="E728">
        <v>31657</v>
      </c>
      <c r="V728" s="7"/>
      <c r="W728" s="7"/>
      <c r="X728" s="7"/>
      <c r="Y728" s="7"/>
      <c r="Z728" s="7"/>
      <c r="AA728" s="7"/>
      <c r="AB728" s="7"/>
      <c r="AC728" s="7"/>
      <c r="AD728" s="7"/>
      <c r="AE728" s="7"/>
      <c r="AF728" s="7"/>
      <c r="AG728" s="7"/>
      <c r="AH728" s="7"/>
      <c r="AI728" s="7"/>
      <c r="AJ728" s="7"/>
      <c r="AK728" s="7"/>
      <c r="AL728" s="7"/>
    </row>
    <row r="729" spans="5:38" ht="15" x14ac:dyDescent="0.25">
      <c r="E729">
        <v>31479</v>
      </c>
      <c r="V729" s="7"/>
      <c r="W729" s="7"/>
      <c r="X729" s="7"/>
      <c r="Y729" s="7"/>
      <c r="Z729" s="7"/>
      <c r="AA729" s="7"/>
      <c r="AB729" s="7"/>
      <c r="AC729" s="7"/>
      <c r="AD729" s="7"/>
      <c r="AE729" s="7"/>
      <c r="AF729" s="7"/>
      <c r="AG729" s="7"/>
      <c r="AH729" s="7"/>
      <c r="AI729" s="7"/>
      <c r="AJ729" s="7"/>
      <c r="AK729" s="7"/>
      <c r="AL729" s="7"/>
    </row>
    <row r="730" spans="5:38" ht="15" x14ac:dyDescent="0.25">
      <c r="E730">
        <v>31760</v>
      </c>
      <c r="V730" s="7"/>
      <c r="W730" s="7"/>
      <c r="X730" s="7"/>
      <c r="Y730" s="7"/>
      <c r="Z730" s="7"/>
      <c r="AA730" s="7"/>
      <c r="AB730" s="7"/>
      <c r="AC730" s="7"/>
      <c r="AD730" s="7"/>
      <c r="AE730" s="7"/>
      <c r="AF730" s="7"/>
      <c r="AG730" s="7"/>
      <c r="AH730" s="7"/>
      <c r="AI730" s="7"/>
      <c r="AJ730" s="7"/>
      <c r="AK730" s="7"/>
      <c r="AL730" s="7"/>
    </row>
    <row r="731" spans="5:38" ht="15" x14ac:dyDescent="0.25">
      <c r="E731">
        <v>31656</v>
      </c>
      <c r="V731" s="7"/>
      <c r="W731" s="7"/>
      <c r="X731" s="7"/>
      <c r="Y731" s="7"/>
      <c r="Z731" s="7"/>
      <c r="AA731" s="7"/>
      <c r="AB731" s="7"/>
      <c r="AC731" s="7"/>
      <c r="AD731" s="7"/>
      <c r="AE731" s="7"/>
      <c r="AF731" s="7"/>
      <c r="AG731" s="7"/>
      <c r="AH731" s="7"/>
      <c r="AI731" s="7"/>
      <c r="AJ731" s="7"/>
      <c r="AK731" s="7"/>
      <c r="AL731" s="7"/>
    </row>
    <row r="732" spans="5:38" ht="15" x14ac:dyDescent="0.25">
      <c r="E732">
        <v>31593</v>
      </c>
      <c r="V732" s="7"/>
      <c r="W732" s="7"/>
      <c r="X732" s="7"/>
      <c r="Y732" s="7"/>
      <c r="Z732" s="7"/>
      <c r="AA732" s="7"/>
      <c r="AB732" s="7"/>
      <c r="AC732" s="7"/>
      <c r="AD732" s="7"/>
      <c r="AE732" s="7"/>
      <c r="AF732" s="7"/>
      <c r="AG732" s="7"/>
      <c r="AH732" s="7"/>
      <c r="AI732" s="7"/>
      <c r="AJ732" s="7"/>
      <c r="AK732" s="7"/>
      <c r="AL732" s="7"/>
    </row>
    <row r="733" spans="5:38" ht="15" x14ac:dyDescent="0.25">
      <c r="E733">
        <v>31786</v>
      </c>
      <c r="V733" s="7"/>
      <c r="W733" s="7"/>
      <c r="X733" s="7"/>
      <c r="Y733" s="7"/>
      <c r="Z733" s="7"/>
      <c r="AA733" s="7"/>
      <c r="AB733" s="7"/>
      <c r="AC733" s="7"/>
      <c r="AD733" s="7"/>
      <c r="AE733" s="7"/>
      <c r="AF733" s="7"/>
      <c r="AG733" s="7"/>
      <c r="AH733" s="7"/>
      <c r="AI733" s="7"/>
      <c r="AJ733" s="7"/>
      <c r="AK733" s="7"/>
      <c r="AL733" s="7"/>
    </row>
    <row r="734" spans="5:38" ht="15" x14ac:dyDescent="0.25">
      <c r="E734">
        <v>31493</v>
      </c>
      <c r="V734" s="7"/>
      <c r="W734" s="7"/>
      <c r="X734" s="7"/>
      <c r="Y734" s="7"/>
      <c r="Z734" s="7"/>
      <c r="AA734" s="7"/>
      <c r="AB734" s="7"/>
      <c r="AC734" s="7"/>
      <c r="AD734" s="7"/>
      <c r="AE734" s="7"/>
      <c r="AF734" s="7"/>
      <c r="AG734" s="7"/>
      <c r="AH734" s="7"/>
      <c r="AI734" s="7"/>
      <c r="AJ734" s="7"/>
      <c r="AK734" s="7"/>
      <c r="AL734" s="7"/>
    </row>
    <row r="735" spans="5:38" ht="15" x14ac:dyDescent="0.25">
      <c r="E735">
        <v>31770</v>
      </c>
      <c r="V735" s="7"/>
      <c r="W735" s="7"/>
      <c r="X735" s="7"/>
      <c r="Y735" s="7"/>
      <c r="Z735" s="7"/>
      <c r="AA735" s="7"/>
      <c r="AB735" s="7"/>
      <c r="AC735" s="7"/>
      <c r="AD735" s="7"/>
      <c r="AE735" s="7"/>
      <c r="AF735" s="7"/>
      <c r="AG735" s="7"/>
      <c r="AH735" s="7"/>
      <c r="AI735" s="7"/>
      <c r="AJ735" s="7"/>
      <c r="AK735" s="7"/>
      <c r="AL735" s="7"/>
    </row>
    <row r="736" spans="5:38" ht="15" x14ac:dyDescent="0.25">
      <c r="E736">
        <v>31691</v>
      </c>
      <c r="V736" s="7"/>
      <c r="W736" s="7"/>
      <c r="X736" s="7"/>
      <c r="Y736" s="7"/>
      <c r="Z736" s="7"/>
      <c r="AA736" s="7"/>
      <c r="AB736" s="7"/>
      <c r="AC736" s="7"/>
      <c r="AD736" s="7"/>
      <c r="AE736" s="7"/>
      <c r="AF736" s="7"/>
      <c r="AG736" s="7"/>
      <c r="AH736" s="7"/>
      <c r="AI736" s="7"/>
      <c r="AJ736" s="7"/>
      <c r="AK736" s="7"/>
      <c r="AL736" s="7"/>
    </row>
    <row r="737" spans="5:38" ht="15" x14ac:dyDescent="0.25">
      <c r="E737">
        <v>31541</v>
      </c>
      <c r="V737" s="7"/>
      <c r="W737" s="7"/>
      <c r="X737" s="7"/>
      <c r="Y737" s="7"/>
      <c r="Z737" s="7"/>
      <c r="AA737" s="7"/>
      <c r="AB737" s="7"/>
      <c r="AC737" s="7"/>
      <c r="AD737" s="7"/>
      <c r="AE737" s="7"/>
      <c r="AF737" s="7"/>
      <c r="AG737" s="7"/>
      <c r="AH737" s="7"/>
      <c r="AI737" s="7"/>
      <c r="AJ737" s="7"/>
      <c r="AK737" s="7"/>
      <c r="AL737" s="7"/>
    </row>
    <row r="738" spans="5:38" ht="15" x14ac:dyDescent="0.25">
      <c r="E738">
        <v>31557</v>
      </c>
      <c r="V738" s="7"/>
      <c r="W738" s="7"/>
      <c r="X738" s="7"/>
      <c r="Y738" s="7"/>
      <c r="Z738" s="7"/>
      <c r="AA738" s="7"/>
      <c r="AB738" s="7"/>
      <c r="AC738" s="7"/>
      <c r="AD738" s="7"/>
      <c r="AE738" s="7"/>
      <c r="AF738" s="7"/>
      <c r="AG738" s="7"/>
      <c r="AH738" s="7"/>
      <c r="AI738" s="7"/>
      <c r="AJ738" s="7"/>
      <c r="AK738" s="7"/>
      <c r="AL738" s="7"/>
    </row>
    <row r="739" spans="5:38" ht="15" x14ac:dyDescent="0.25">
      <c r="E739">
        <v>31552</v>
      </c>
      <c r="V739" s="7"/>
      <c r="W739" s="7"/>
      <c r="X739" s="7"/>
      <c r="Y739" s="7"/>
      <c r="Z739" s="7"/>
      <c r="AA739" s="7"/>
      <c r="AB739" s="7"/>
      <c r="AC739" s="7"/>
      <c r="AD739" s="7"/>
      <c r="AE739" s="7"/>
      <c r="AF739" s="7"/>
      <c r="AG739" s="7"/>
      <c r="AH739" s="7"/>
      <c r="AI739" s="7"/>
      <c r="AJ739" s="7"/>
      <c r="AK739" s="7"/>
      <c r="AL739" s="7"/>
    </row>
    <row r="740" spans="5:38" ht="15" x14ac:dyDescent="0.25">
      <c r="E740">
        <v>31694</v>
      </c>
      <c r="V740" s="7"/>
      <c r="W740" s="7"/>
      <c r="X740" s="7"/>
      <c r="Y740" s="7"/>
      <c r="Z740" s="7"/>
      <c r="AA740" s="7"/>
      <c r="AB740" s="7"/>
      <c r="AC740" s="7"/>
      <c r="AD740" s="7"/>
      <c r="AE740" s="7"/>
      <c r="AF740" s="7"/>
      <c r="AG740" s="7"/>
      <c r="AH740" s="7"/>
      <c r="AI740" s="7"/>
      <c r="AJ740" s="7"/>
      <c r="AK740" s="7"/>
      <c r="AL740" s="7"/>
    </row>
    <row r="741" spans="5:38" ht="15" x14ac:dyDescent="0.25">
      <c r="E741">
        <v>31494</v>
      </c>
      <c r="V741" s="7"/>
      <c r="W741" s="7"/>
      <c r="X741" s="7"/>
      <c r="Y741" s="7"/>
      <c r="Z741" s="7"/>
      <c r="AA741" s="7"/>
      <c r="AB741" s="7"/>
      <c r="AC741" s="7"/>
      <c r="AD741" s="7"/>
      <c r="AE741" s="7"/>
      <c r="AF741" s="7"/>
      <c r="AG741" s="7"/>
      <c r="AH741" s="7"/>
      <c r="AI741" s="7"/>
      <c r="AJ741" s="7"/>
      <c r="AK741" s="7"/>
      <c r="AL741" s="7"/>
    </row>
    <row r="742" spans="5:38" ht="15" x14ac:dyDescent="0.25">
      <c r="E742">
        <v>31659</v>
      </c>
      <c r="V742" s="7"/>
      <c r="W742" s="7"/>
      <c r="X742" s="7"/>
      <c r="Y742" s="7"/>
      <c r="Z742" s="7"/>
      <c r="AA742" s="7"/>
      <c r="AB742" s="7"/>
      <c r="AC742" s="7"/>
      <c r="AD742" s="7"/>
      <c r="AE742" s="7"/>
      <c r="AF742" s="7"/>
      <c r="AG742" s="7"/>
      <c r="AH742" s="7"/>
      <c r="AI742" s="7"/>
      <c r="AJ742" s="7"/>
      <c r="AK742" s="7"/>
      <c r="AL742" s="7"/>
    </row>
    <row r="743" spans="5:38" ht="15" x14ac:dyDescent="0.25">
      <c r="E743">
        <v>31497</v>
      </c>
      <c r="V743" s="7"/>
      <c r="W743" s="7"/>
      <c r="X743" s="7"/>
      <c r="Y743" s="7"/>
      <c r="Z743" s="7"/>
      <c r="AA743" s="7"/>
      <c r="AB743" s="7"/>
      <c r="AC743" s="7"/>
      <c r="AD743" s="7"/>
      <c r="AE743" s="7"/>
      <c r="AF743" s="7"/>
      <c r="AG743" s="7"/>
      <c r="AH743" s="7"/>
      <c r="AI743" s="7"/>
      <c r="AJ743" s="7"/>
      <c r="AK743" s="7"/>
      <c r="AL743" s="7"/>
    </row>
    <row r="744" spans="5:38" ht="15" x14ac:dyDescent="0.25">
      <c r="E744">
        <v>31658</v>
      </c>
      <c r="V744" s="7"/>
      <c r="W744" s="7"/>
      <c r="X744" s="7"/>
      <c r="Y744" s="7"/>
      <c r="Z744" s="7"/>
      <c r="AA744" s="7"/>
      <c r="AB744" s="7"/>
      <c r="AC744" s="7"/>
      <c r="AD744" s="7"/>
      <c r="AE744" s="7"/>
      <c r="AF744" s="7"/>
      <c r="AG744" s="7"/>
      <c r="AH744" s="7"/>
      <c r="AI744" s="7"/>
      <c r="AJ744" s="7"/>
      <c r="AK744" s="7"/>
      <c r="AL744" s="7"/>
    </row>
    <row r="745" spans="5:38" ht="15" x14ac:dyDescent="0.25">
      <c r="E745">
        <v>31790</v>
      </c>
      <c r="V745" s="7"/>
      <c r="W745" s="7"/>
      <c r="X745" s="7"/>
      <c r="Y745" s="7"/>
      <c r="Z745" s="7"/>
      <c r="AA745" s="7"/>
      <c r="AB745" s="7"/>
      <c r="AC745" s="7"/>
      <c r="AD745" s="7"/>
      <c r="AE745" s="7"/>
      <c r="AF745" s="7"/>
      <c r="AG745" s="7"/>
      <c r="AH745" s="7"/>
      <c r="AI745" s="7"/>
      <c r="AJ745" s="7"/>
      <c r="AK745" s="7"/>
      <c r="AL745" s="7"/>
    </row>
    <row r="746" spans="5:38" ht="15" x14ac:dyDescent="0.25">
      <c r="E746">
        <v>31578</v>
      </c>
      <c r="V746" s="7"/>
      <c r="W746" s="7"/>
      <c r="X746" s="7"/>
      <c r="Y746" s="7"/>
      <c r="Z746" s="7"/>
      <c r="AA746" s="7"/>
      <c r="AB746" s="7"/>
      <c r="AC746" s="7"/>
      <c r="AD746" s="7"/>
      <c r="AE746" s="7"/>
      <c r="AF746" s="7"/>
      <c r="AG746" s="7"/>
      <c r="AH746" s="7"/>
      <c r="AI746" s="7"/>
      <c r="AJ746" s="7"/>
      <c r="AK746" s="7"/>
      <c r="AL746" s="7"/>
    </row>
    <row r="747" spans="5:38" ht="15" x14ac:dyDescent="0.25">
      <c r="E747">
        <v>31502</v>
      </c>
      <c r="V747" s="7"/>
      <c r="W747" s="7"/>
      <c r="X747" s="7"/>
      <c r="Y747" s="7"/>
      <c r="Z747" s="7"/>
      <c r="AA747" s="7"/>
      <c r="AB747" s="7"/>
      <c r="AC747" s="7"/>
      <c r="AD747" s="7"/>
      <c r="AE747" s="7"/>
      <c r="AF747" s="7"/>
      <c r="AG747" s="7"/>
      <c r="AH747" s="7"/>
      <c r="AI747" s="7"/>
      <c r="AJ747" s="7"/>
      <c r="AK747" s="7"/>
      <c r="AL747" s="7"/>
    </row>
    <row r="748" spans="5:38" ht="15" x14ac:dyDescent="0.25">
      <c r="E748">
        <v>31478</v>
      </c>
      <c r="V748" s="7"/>
      <c r="W748" s="7"/>
      <c r="X748" s="7"/>
      <c r="Y748" s="7"/>
      <c r="Z748" s="7"/>
      <c r="AA748" s="7"/>
      <c r="AB748" s="7"/>
      <c r="AC748" s="7"/>
      <c r="AD748" s="7"/>
      <c r="AE748" s="7"/>
      <c r="AF748" s="7"/>
      <c r="AG748" s="7"/>
      <c r="AH748" s="7"/>
      <c r="AI748" s="7"/>
      <c r="AJ748" s="7"/>
      <c r="AK748" s="7"/>
      <c r="AL748" s="7"/>
    </row>
    <row r="749" spans="5:38" ht="15" x14ac:dyDescent="0.25">
      <c r="E749">
        <v>31653</v>
      </c>
      <c r="V749" s="7"/>
      <c r="W749" s="7"/>
      <c r="X749" s="7"/>
      <c r="Y749" s="7"/>
      <c r="Z749" s="7"/>
      <c r="AA749" s="7"/>
      <c r="AB749" s="7"/>
      <c r="AC749" s="7"/>
      <c r="AD749" s="7"/>
      <c r="AE749" s="7"/>
      <c r="AF749" s="7"/>
      <c r="AG749" s="7"/>
      <c r="AH749" s="7"/>
      <c r="AI749" s="7"/>
      <c r="AJ749" s="7"/>
      <c r="AK749" s="7"/>
      <c r="AL749" s="7"/>
    </row>
    <row r="750" spans="5:38" ht="15" x14ac:dyDescent="0.25">
      <c r="E750">
        <v>31838</v>
      </c>
      <c r="V750" s="7"/>
      <c r="W750" s="7"/>
      <c r="X750" s="7"/>
      <c r="Y750" s="7"/>
      <c r="Z750" s="7"/>
      <c r="AA750" s="7"/>
      <c r="AB750" s="7"/>
      <c r="AC750" s="7"/>
      <c r="AD750" s="7"/>
      <c r="AE750" s="7"/>
      <c r="AF750" s="7"/>
      <c r="AG750" s="7"/>
      <c r="AH750" s="7"/>
      <c r="AI750" s="7"/>
      <c r="AJ750" s="7"/>
      <c r="AK750" s="7"/>
      <c r="AL750" s="7"/>
    </row>
    <row r="751" spans="5:38" ht="15" x14ac:dyDescent="0.25">
      <c r="E751">
        <v>31661</v>
      </c>
      <c r="V751" s="7"/>
      <c r="W751" s="7"/>
      <c r="X751" s="7"/>
      <c r="Y751" s="7"/>
      <c r="Z751" s="7"/>
      <c r="AA751" s="7"/>
      <c r="AB751" s="7"/>
      <c r="AC751" s="7"/>
      <c r="AD751" s="7"/>
      <c r="AE751" s="7"/>
      <c r="AF751" s="7"/>
      <c r="AG751" s="7"/>
      <c r="AH751" s="7"/>
      <c r="AI751" s="7"/>
      <c r="AJ751" s="7"/>
      <c r="AK751" s="7"/>
      <c r="AL751" s="7"/>
    </row>
    <row r="752" spans="5:38" ht="15" x14ac:dyDescent="0.25">
      <c r="E752">
        <v>31602</v>
      </c>
      <c r="V752" s="7"/>
      <c r="W752" s="7"/>
      <c r="X752" s="7"/>
      <c r="Y752" s="7"/>
      <c r="Z752" s="7"/>
      <c r="AA752" s="7"/>
      <c r="AB752" s="7"/>
      <c r="AC752" s="7"/>
      <c r="AD752" s="7"/>
      <c r="AE752" s="7"/>
      <c r="AF752" s="7"/>
      <c r="AG752" s="7"/>
      <c r="AH752" s="7"/>
      <c r="AI752" s="7"/>
      <c r="AJ752" s="7"/>
      <c r="AK752" s="7"/>
      <c r="AL752" s="7"/>
    </row>
    <row r="753" spans="5:38" ht="15" x14ac:dyDescent="0.25">
      <c r="E753">
        <v>31461</v>
      </c>
      <c r="V753" s="7"/>
      <c r="W753" s="7"/>
      <c r="X753" s="7"/>
      <c r="Y753" s="7"/>
      <c r="Z753" s="7"/>
      <c r="AA753" s="7"/>
      <c r="AB753" s="7"/>
      <c r="AC753" s="7"/>
      <c r="AD753" s="7"/>
      <c r="AE753" s="7"/>
      <c r="AF753" s="7"/>
      <c r="AG753" s="7"/>
      <c r="AH753" s="7"/>
      <c r="AI753" s="7"/>
      <c r="AJ753" s="7"/>
      <c r="AK753" s="7"/>
      <c r="AL753" s="7"/>
    </row>
    <row r="754" spans="5:38" ht="15" x14ac:dyDescent="0.25">
      <c r="E754">
        <v>31642</v>
      </c>
      <c r="V754" s="7"/>
      <c r="W754" s="7"/>
      <c r="X754" s="7"/>
      <c r="Y754" s="7"/>
      <c r="Z754" s="7"/>
      <c r="AA754" s="7"/>
      <c r="AB754" s="7"/>
      <c r="AC754" s="7"/>
      <c r="AD754" s="7"/>
      <c r="AE754" s="7"/>
      <c r="AF754" s="7"/>
      <c r="AG754" s="7"/>
      <c r="AH754" s="7"/>
      <c r="AI754" s="7"/>
      <c r="AJ754" s="7"/>
      <c r="AK754" s="7"/>
      <c r="AL754" s="7"/>
    </row>
    <row r="755" spans="5:38" ht="15" x14ac:dyDescent="0.25">
      <c r="E755">
        <v>31595</v>
      </c>
      <c r="V755" s="7"/>
      <c r="W755" s="7"/>
      <c r="X755" s="7"/>
      <c r="Y755" s="7"/>
      <c r="Z755" s="7"/>
      <c r="AA755" s="7"/>
      <c r="AB755" s="7"/>
      <c r="AC755" s="7"/>
      <c r="AD755" s="7"/>
      <c r="AE755" s="7"/>
      <c r="AF755" s="7"/>
      <c r="AG755" s="7"/>
      <c r="AH755" s="7"/>
      <c r="AI755" s="7"/>
      <c r="AJ755" s="7"/>
      <c r="AK755" s="7"/>
      <c r="AL755" s="7"/>
    </row>
    <row r="756" spans="5:38" ht="15" x14ac:dyDescent="0.25">
      <c r="E756">
        <v>31768</v>
      </c>
      <c r="V756" s="7"/>
      <c r="W756" s="7"/>
      <c r="X756" s="7"/>
      <c r="Y756" s="7"/>
      <c r="Z756" s="7"/>
      <c r="AA756" s="7"/>
      <c r="AB756" s="7"/>
      <c r="AC756" s="7"/>
      <c r="AD756" s="7"/>
      <c r="AE756" s="7"/>
      <c r="AF756" s="7"/>
      <c r="AG756" s="7"/>
      <c r="AH756" s="7"/>
      <c r="AI756" s="7"/>
      <c r="AJ756" s="7"/>
      <c r="AK756" s="7"/>
      <c r="AL756" s="7"/>
    </row>
    <row r="757" spans="5:38" ht="15" x14ac:dyDescent="0.25">
      <c r="E757">
        <v>31601</v>
      </c>
      <c r="V757" s="7"/>
      <c r="W757" s="7"/>
      <c r="X757" s="7"/>
      <c r="Y757" s="7"/>
      <c r="Z757" s="7"/>
      <c r="AA757" s="7"/>
      <c r="AB757" s="7"/>
      <c r="AC757" s="7"/>
      <c r="AD757" s="7"/>
      <c r="AE757" s="7"/>
      <c r="AF757" s="7"/>
      <c r="AG757" s="7"/>
      <c r="AH757" s="7"/>
      <c r="AI757" s="7"/>
      <c r="AJ757" s="7"/>
      <c r="AK757" s="7"/>
      <c r="AL757" s="7"/>
    </row>
    <row r="758" spans="5:38" ht="15" x14ac:dyDescent="0.25">
      <c r="E758">
        <v>31792</v>
      </c>
      <c r="V758" s="7"/>
      <c r="W758" s="7"/>
      <c r="X758" s="7"/>
      <c r="Y758" s="7"/>
      <c r="Z758" s="7"/>
      <c r="AA758" s="7"/>
      <c r="AB758" s="7"/>
      <c r="AC758" s="7"/>
      <c r="AD758" s="7"/>
      <c r="AE758" s="7"/>
      <c r="AF758" s="7"/>
      <c r="AG758" s="7"/>
      <c r="AH758" s="7"/>
      <c r="AI758" s="7"/>
      <c r="AJ758" s="7"/>
      <c r="AK758" s="7"/>
      <c r="AL758" s="7"/>
    </row>
    <row r="759" spans="5:38" ht="15" x14ac:dyDescent="0.25">
      <c r="E759">
        <v>31689</v>
      </c>
      <c r="V759" s="7"/>
      <c r="W759" s="7"/>
      <c r="X759" s="7"/>
      <c r="Y759" s="7"/>
      <c r="Z759" s="7"/>
      <c r="AA759" s="7"/>
      <c r="AB759" s="7"/>
      <c r="AC759" s="7"/>
      <c r="AD759" s="7"/>
      <c r="AE759" s="7"/>
      <c r="AF759" s="7"/>
      <c r="AG759" s="7"/>
      <c r="AH759" s="7"/>
      <c r="AI759" s="7"/>
      <c r="AJ759" s="7"/>
      <c r="AK759" s="7"/>
      <c r="AL759" s="7"/>
    </row>
    <row r="760" spans="5:38" ht="15" x14ac:dyDescent="0.25">
      <c r="E760">
        <v>31776</v>
      </c>
      <c r="V760" s="7"/>
      <c r="W760" s="7"/>
      <c r="X760" s="7"/>
      <c r="Y760" s="7"/>
      <c r="Z760" s="7"/>
      <c r="AA760" s="7"/>
      <c r="AB760" s="7"/>
      <c r="AC760" s="7"/>
      <c r="AD760" s="7"/>
      <c r="AE760" s="7"/>
      <c r="AF760" s="7"/>
      <c r="AG760" s="7"/>
      <c r="AH760" s="7"/>
      <c r="AI760" s="7"/>
      <c r="AJ760" s="7"/>
      <c r="AK760" s="7"/>
      <c r="AL760" s="7"/>
    </row>
    <row r="761" spans="5:38" ht="15" x14ac:dyDescent="0.25">
      <c r="E761">
        <v>31655</v>
      </c>
      <c r="V761" s="7"/>
      <c r="W761" s="7"/>
      <c r="X761" s="7"/>
      <c r="Y761" s="7"/>
      <c r="Z761" s="7"/>
      <c r="AA761" s="7"/>
      <c r="AB761" s="7"/>
      <c r="AC761" s="7"/>
      <c r="AD761" s="7"/>
      <c r="AE761" s="7"/>
      <c r="AF761" s="7"/>
      <c r="AG761" s="7"/>
      <c r="AH761" s="7"/>
      <c r="AI761" s="7"/>
      <c r="AJ761" s="7"/>
      <c r="AK761" s="7"/>
      <c r="AL761" s="7"/>
    </row>
    <row r="762" spans="5:38" ht="15" x14ac:dyDescent="0.25">
      <c r="E762">
        <v>31763</v>
      </c>
      <c r="V762" s="7"/>
      <c r="W762" s="7"/>
      <c r="X762" s="7"/>
      <c r="Y762" s="7"/>
      <c r="Z762" s="7"/>
      <c r="AA762" s="7"/>
      <c r="AB762" s="7"/>
      <c r="AC762" s="7"/>
      <c r="AD762" s="7"/>
      <c r="AE762" s="7"/>
      <c r="AF762" s="7"/>
      <c r="AG762" s="7"/>
      <c r="AH762" s="7"/>
      <c r="AI762" s="7"/>
      <c r="AJ762" s="7"/>
      <c r="AK762" s="7"/>
      <c r="AL762" s="7"/>
    </row>
    <row r="763" spans="5:38" ht="15" x14ac:dyDescent="0.25">
      <c r="E763">
        <v>31547</v>
      </c>
      <c r="V763" s="7"/>
      <c r="W763" s="7"/>
      <c r="X763" s="7"/>
      <c r="Y763" s="7"/>
      <c r="Z763" s="7"/>
      <c r="AA763" s="7"/>
      <c r="AB763" s="7"/>
      <c r="AC763" s="7"/>
      <c r="AD763" s="7"/>
      <c r="AE763" s="7"/>
      <c r="AF763" s="7"/>
      <c r="AG763" s="7"/>
      <c r="AH763" s="7"/>
      <c r="AI763" s="7"/>
      <c r="AJ763" s="7"/>
      <c r="AK763" s="7"/>
      <c r="AL763" s="7"/>
    </row>
    <row r="764" spans="5:38" ht="15" x14ac:dyDescent="0.25">
      <c r="E764">
        <v>31685</v>
      </c>
      <c r="V764" s="7"/>
      <c r="W764" s="7"/>
      <c r="X764" s="7"/>
      <c r="Y764" s="7"/>
      <c r="Z764" s="7"/>
      <c r="AA764" s="7"/>
      <c r="AB764" s="7"/>
      <c r="AC764" s="7"/>
      <c r="AD764" s="7"/>
      <c r="AE764" s="7"/>
      <c r="AF764" s="7"/>
      <c r="AG764" s="7"/>
      <c r="AH764" s="7"/>
      <c r="AI764" s="7"/>
      <c r="AJ764" s="7"/>
      <c r="AK764" s="7"/>
      <c r="AL764" s="7"/>
    </row>
    <row r="765" spans="5:38" ht="15" x14ac:dyDescent="0.25">
      <c r="E765">
        <v>31690</v>
      </c>
      <c r="V765" s="7"/>
      <c r="W765" s="7"/>
      <c r="X765" s="7"/>
      <c r="Y765" s="7"/>
      <c r="Z765" s="7"/>
      <c r="AA765" s="7"/>
      <c r="AB765" s="7"/>
      <c r="AC765" s="7"/>
      <c r="AD765" s="7"/>
      <c r="AE765" s="7"/>
      <c r="AF765" s="7"/>
      <c r="AG765" s="7"/>
      <c r="AH765" s="7"/>
      <c r="AI765" s="7"/>
      <c r="AJ765" s="7"/>
      <c r="AK765" s="7"/>
      <c r="AL765" s="7"/>
    </row>
    <row r="766" spans="5:38" ht="15" x14ac:dyDescent="0.25">
      <c r="E766">
        <v>31762</v>
      </c>
      <c r="V766" s="7"/>
      <c r="W766" s="7"/>
      <c r="X766" s="7"/>
      <c r="Y766" s="7"/>
      <c r="Z766" s="7"/>
      <c r="AA766" s="7"/>
      <c r="AB766" s="7"/>
      <c r="AC766" s="7"/>
      <c r="AD766" s="7"/>
      <c r="AE766" s="7"/>
      <c r="AF766" s="7"/>
      <c r="AG766" s="7"/>
      <c r="AH766" s="7"/>
      <c r="AI766" s="7"/>
      <c r="AJ766" s="7"/>
      <c r="AK766" s="7"/>
      <c r="AL766" s="7"/>
    </row>
    <row r="767" spans="5:38" ht="15" x14ac:dyDescent="0.25">
      <c r="E767">
        <v>31542</v>
      </c>
      <c r="V767" s="7"/>
      <c r="W767" s="7"/>
      <c r="X767" s="7"/>
      <c r="Y767" s="7"/>
      <c r="Z767" s="7"/>
      <c r="AA767" s="7"/>
      <c r="AB767" s="7"/>
      <c r="AC767" s="7"/>
      <c r="AD767" s="7"/>
      <c r="AE767" s="7"/>
      <c r="AF767" s="7"/>
      <c r="AG767" s="7"/>
      <c r="AH767" s="7"/>
      <c r="AI767" s="7"/>
      <c r="AJ767" s="7"/>
      <c r="AK767" s="7"/>
      <c r="AL767" s="7"/>
    </row>
    <row r="768" spans="5:38" ht="15" x14ac:dyDescent="0.25">
      <c r="E768">
        <v>31839</v>
      </c>
      <c r="V768" s="7"/>
      <c r="W768" s="7"/>
      <c r="X768" s="7"/>
      <c r="Y768" s="7"/>
      <c r="Z768" s="7"/>
      <c r="AA768" s="7"/>
      <c r="AB768" s="7"/>
      <c r="AC768" s="7"/>
      <c r="AD768" s="7"/>
      <c r="AE768" s="7"/>
      <c r="AF768" s="7"/>
      <c r="AG768" s="7"/>
      <c r="AH768" s="7"/>
      <c r="AI768" s="7"/>
      <c r="AJ768" s="7"/>
      <c r="AK768" s="7"/>
      <c r="AL768" s="7"/>
    </row>
    <row r="769" spans="5:38" ht="15" x14ac:dyDescent="0.25">
      <c r="E769">
        <v>31499</v>
      </c>
      <c r="V769" s="7"/>
      <c r="W769" s="7"/>
      <c r="X769" s="7"/>
      <c r="Y769" s="7"/>
      <c r="Z769" s="7"/>
      <c r="AA769" s="7"/>
      <c r="AB769" s="7"/>
      <c r="AC769" s="7"/>
      <c r="AD769" s="7"/>
      <c r="AE769" s="7"/>
      <c r="AF769" s="7"/>
      <c r="AG769" s="7"/>
      <c r="AH769" s="7"/>
      <c r="AI769" s="7"/>
      <c r="AJ769" s="7"/>
      <c r="AK769" s="7"/>
      <c r="AL769" s="7"/>
    </row>
    <row r="770" spans="5:38" ht="15" x14ac:dyDescent="0.25">
      <c r="E770">
        <v>31560</v>
      </c>
      <c r="V770" s="7"/>
      <c r="W770" s="7"/>
      <c r="X770" s="7"/>
      <c r="Y770" s="7"/>
      <c r="Z770" s="7"/>
      <c r="AA770" s="7"/>
      <c r="AB770" s="7"/>
      <c r="AC770" s="7"/>
      <c r="AD770" s="7"/>
      <c r="AE770" s="7"/>
      <c r="AF770" s="7"/>
      <c r="AG770" s="7"/>
      <c r="AH770" s="7"/>
      <c r="AI770" s="7"/>
      <c r="AJ770" s="7"/>
      <c r="AK770" s="7"/>
      <c r="AL770" s="7"/>
    </row>
    <row r="771" spans="5:38" ht="15" x14ac:dyDescent="0.25">
      <c r="E771">
        <v>31563</v>
      </c>
      <c r="V771" s="7"/>
      <c r="W771" s="7"/>
      <c r="X771" s="7"/>
      <c r="Y771" s="7"/>
      <c r="Z771" s="7"/>
      <c r="AA771" s="7"/>
      <c r="AB771" s="7"/>
      <c r="AC771" s="7"/>
      <c r="AD771" s="7"/>
      <c r="AE771" s="7"/>
      <c r="AF771" s="7"/>
      <c r="AG771" s="7"/>
      <c r="AH771" s="7"/>
      <c r="AI771" s="7"/>
      <c r="AJ771" s="7"/>
      <c r="AK771" s="7"/>
      <c r="AL771" s="7"/>
    </row>
    <row r="772" spans="5:38" ht="15" x14ac:dyDescent="0.25">
      <c r="E772">
        <v>31698</v>
      </c>
      <c r="V772" s="7"/>
      <c r="W772" s="7"/>
      <c r="X772" s="7"/>
      <c r="Y772" s="7"/>
      <c r="Z772" s="7"/>
      <c r="AA772" s="7"/>
      <c r="AB772" s="7"/>
      <c r="AC772" s="7"/>
      <c r="AD772" s="7"/>
      <c r="AE772" s="7"/>
      <c r="AF772" s="7"/>
      <c r="AG772" s="7"/>
      <c r="AH772" s="7"/>
      <c r="AI772" s="7"/>
      <c r="AJ772" s="7"/>
      <c r="AK772" s="7"/>
      <c r="AL772" s="7"/>
    </row>
    <row r="773" spans="5:38" ht="15" x14ac:dyDescent="0.25">
      <c r="E773">
        <v>31562</v>
      </c>
      <c r="V773" s="7"/>
      <c r="W773" s="7"/>
      <c r="X773" s="7"/>
      <c r="Y773" s="7"/>
      <c r="Z773" s="7"/>
      <c r="AA773" s="7"/>
      <c r="AB773" s="7"/>
      <c r="AC773" s="7"/>
      <c r="AD773" s="7"/>
      <c r="AE773" s="7"/>
      <c r="AF773" s="7"/>
      <c r="AG773" s="7"/>
      <c r="AH773" s="7"/>
      <c r="AI773" s="7"/>
      <c r="AJ773" s="7"/>
      <c r="AK773" s="7"/>
      <c r="AL773" s="7"/>
    </row>
    <row r="774" spans="5:38" ht="15" x14ac:dyDescent="0.25">
      <c r="E774">
        <v>31769</v>
      </c>
      <c r="V774" s="7"/>
      <c r="W774" s="7"/>
      <c r="X774" s="7"/>
      <c r="Y774" s="7"/>
      <c r="Z774" s="7"/>
      <c r="AA774" s="7"/>
      <c r="AB774" s="7"/>
      <c r="AC774" s="7"/>
      <c r="AD774" s="7"/>
      <c r="AE774" s="7"/>
      <c r="AF774" s="7"/>
      <c r="AG774" s="7"/>
      <c r="AH774" s="7"/>
      <c r="AI774" s="7"/>
      <c r="AJ774" s="7"/>
      <c r="AK774" s="7"/>
      <c r="AL774" s="7"/>
    </row>
    <row r="775" spans="5:38" ht="15" x14ac:dyDescent="0.25">
      <c r="E775">
        <v>31681</v>
      </c>
      <c r="V775" s="7"/>
      <c r="W775" s="7"/>
      <c r="X775" s="7"/>
      <c r="Y775" s="7"/>
      <c r="Z775" s="7"/>
      <c r="AA775" s="7"/>
      <c r="AB775" s="7"/>
      <c r="AC775" s="7"/>
      <c r="AD775" s="7"/>
      <c r="AE775" s="7"/>
      <c r="AF775" s="7"/>
      <c r="AG775" s="7"/>
      <c r="AH775" s="7"/>
      <c r="AI775" s="7"/>
      <c r="AJ775" s="7"/>
      <c r="AK775" s="7"/>
      <c r="AL775" s="7"/>
    </row>
    <row r="776" spans="5:38" ht="15" x14ac:dyDescent="0.25">
      <c r="E776">
        <v>31544</v>
      </c>
      <c r="V776" s="7"/>
      <c r="W776" s="7"/>
      <c r="X776" s="7"/>
      <c r="Y776" s="7"/>
      <c r="Z776" s="7"/>
      <c r="AA776" s="7"/>
      <c r="AB776" s="7"/>
      <c r="AC776" s="7"/>
      <c r="AD776" s="7"/>
      <c r="AE776" s="7"/>
      <c r="AF776" s="7"/>
      <c r="AG776" s="7"/>
      <c r="AH776" s="7"/>
      <c r="AI776" s="7"/>
      <c r="AJ776" s="7"/>
      <c r="AK776" s="7"/>
      <c r="AL776" s="7"/>
    </row>
    <row r="777" spans="5:38" ht="15" x14ac:dyDescent="0.25">
      <c r="E777">
        <v>31793</v>
      </c>
      <c r="V777" s="7"/>
      <c r="W777" s="7"/>
      <c r="X777" s="7"/>
      <c r="Y777" s="7"/>
      <c r="Z777" s="7"/>
      <c r="AA777" s="7"/>
      <c r="AB777" s="7"/>
      <c r="AC777" s="7"/>
      <c r="AD777" s="7"/>
      <c r="AE777" s="7"/>
      <c r="AF777" s="7"/>
      <c r="AG777" s="7"/>
      <c r="AH777" s="7"/>
      <c r="AI777" s="7"/>
      <c r="AJ777" s="7"/>
      <c r="AK777" s="7"/>
      <c r="AL777" s="7"/>
    </row>
    <row r="778" spans="5:38" ht="15" x14ac:dyDescent="0.25">
      <c r="E778">
        <v>31496</v>
      </c>
      <c r="V778" s="7"/>
      <c r="W778" s="7"/>
      <c r="X778" s="7"/>
      <c r="Y778" s="7"/>
      <c r="Z778" s="7"/>
      <c r="AA778" s="7"/>
      <c r="AB778" s="7"/>
      <c r="AC778" s="7"/>
      <c r="AD778" s="7"/>
      <c r="AE778" s="7"/>
      <c r="AF778" s="7"/>
      <c r="AG778" s="7"/>
      <c r="AH778" s="7"/>
      <c r="AI778" s="7"/>
      <c r="AJ778" s="7"/>
      <c r="AK778" s="7"/>
      <c r="AL778" s="7"/>
    </row>
    <row r="779" spans="5:38" ht="15" x14ac:dyDescent="0.25">
      <c r="E779">
        <v>31483</v>
      </c>
      <c r="V779" s="7"/>
      <c r="W779" s="7"/>
      <c r="X779" s="7"/>
      <c r="Y779" s="7"/>
      <c r="Z779" s="7"/>
      <c r="AA779" s="7"/>
      <c r="AB779" s="7"/>
      <c r="AC779" s="7"/>
      <c r="AD779" s="7"/>
      <c r="AE779" s="7"/>
      <c r="AF779" s="7"/>
      <c r="AG779" s="7"/>
      <c r="AH779" s="7"/>
      <c r="AI779" s="7"/>
      <c r="AJ779" s="7"/>
      <c r="AK779" s="7"/>
      <c r="AL779" s="7"/>
    </row>
    <row r="780" spans="5:38" ht="15" x14ac:dyDescent="0.25">
      <c r="E780">
        <v>31566</v>
      </c>
      <c r="V780" s="7"/>
      <c r="W780" s="7"/>
      <c r="X780" s="7"/>
      <c r="Y780" s="7"/>
      <c r="Z780" s="7"/>
      <c r="AA780" s="7"/>
      <c r="AB780" s="7"/>
      <c r="AC780" s="7"/>
      <c r="AD780" s="7"/>
      <c r="AE780" s="7"/>
      <c r="AF780" s="7"/>
      <c r="AG780" s="7"/>
      <c r="AH780" s="7"/>
      <c r="AI780" s="7"/>
      <c r="AJ780" s="7"/>
      <c r="AK780" s="7"/>
      <c r="AL780" s="7"/>
    </row>
    <row r="781" spans="5:38" ht="15" x14ac:dyDescent="0.25">
      <c r="E781">
        <v>31682</v>
      </c>
      <c r="V781" s="7"/>
      <c r="W781" s="7"/>
      <c r="X781" s="7"/>
      <c r="Y781" s="7"/>
      <c r="Z781" s="7"/>
      <c r="AA781" s="7"/>
      <c r="AB781" s="7"/>
      <c r="AC781" s="7"/>
      <c r="AD781" s="7"/>
      <c r="AE781" s="7"/>
      <c r="AF781" s="7"/>
      <c r="AG781" s="7"/>
      <c r="AH781" s="7"/>
      <c r="AI781" s="7"/>
      <c r="AJ781" s="7"/>
      <c r="AK781" s="7"/>
      <c r="AL781" s="7"/>
    </row>
    <row r="782" spans="5:38" ht="15" x14ac:dyDescent="0.25">
      <c r="E782">
        <v>31650</v>
      </c>
      <c r="V782" s="7"/>
      <c r="W782" s="7"/>
      <c r="X782" s="7"/>
      <c r="Y782" s="7"/>
      <c r="Z782" s="7"/>
      <c r="AA782" s="7"/>
      <c r="AB782" s="7"/>
      <c r="AC782" s="7"/>
      <c r="AD782" s="7"/>
      <c r="AE782" s="7"/>
      <c r="AF782" s="7"/>
      <c r="AG782" s="7"/>
      <c r="AH782" s="7"/>
      <c r="AI782" s="7"/>
      <c r="AJ782" s="7"/>
      <c r="AK782" s="7"/>
      <c r="AL782" s="7"/>
    </row>
    <row r="783" spans="5:38" ht="15" x14ac:dyDescent="0.25">
      <c r="E783">
        <v>31840</v>
      </c>
      <c r="V783" s="7"/>
      <c r="W783" s="7"/>
      <c r="X783" s="7"/>
      <c r="Y783" s="7"/>
      <c r="Z783" s="7"/>
      <c r="AA783" s="7"/>
      <c r="AB783" s="7"/>
      <c r="AC783" s="7"/>
      <c r="AD783" s="7"/>
      <c r="AE783" s="7"/>
      <c r="AF783" s="7"/>
      <c r="AG783" s="7"/>
      <c r="AH783" s="7"/>
      <c r="AI783" s="7"/>
      <c r="AJ783" s="7"/>
      <c r="AK783" s="7"/>
      <c r="AL783" s="7"/>
    </row>
    <row r="784" spans="5:38" ht="15" x14ac:dyDescent="0.25">
      <c r="E784">
        <v>31844</v>
      </c>
      <c r="V784" s="7"/>
      <c r="W784" s="7"/>
      <c r="X784" s="7"/>
      <c r="Y784" s="7"/>
      <c r="Z784" s="7"/>
      <c r="AA784" s="7"/>
      <c r="AB784" s="7"/>
      <c r="AC784" s="7"/>
      <c r="AD784" s="7"/>
      <c r="AE784" s="7"/>
      <c r="AF784" s="7"/>
      <c r="AG784" s="7"/>
      <c r="AH784" s="7"/>
      <c r="AI784" s="7"/>
      <c r="AJ784" s="7"/>
      <c r="AK784" s="7"/>
      <c r="AL784" s="7"/>
    </row>
    <row r="785" spans="5:38" ht="15" x14ac:dyDescent="0.25">
      <c r="E785">
        <v>31758</v>
      </c>
      <c r="V785" s="7"/>
      <c r="W785" s="7"/>
      <c r="X785" s="7"/>
      <c r="Y785" s="7"/>
      <c r="Z785" s="7"/>
      <c r="AA785" s="7"/>
      <c r="AB785" s="7"/>
      <c r="AC785" s="7"/>
      <c r="AD785" s="7"/>
      <c r="AE785" s="7"/>
      <c r="AF785" s="7"/>
      <c r="AG785" s="7"/>
      <c r="AH785" s="7"/>
      <c r="AI785" s="7"/>
      <c r="AJ785" s="7"/>
      <c r="AK785" s="7"/>
      <c r="AL785" s="7"/>
    </row>
    <row r="786" spans="5:38" ht="15" x14ac:dyDescent="0.25">
      <c r="E786">
        <v>31843</v>
      </c>
      <c r="V786" s="7"/>
      <c r="W786" s="7"/>
      <c r="X786" s="7"/>
      <c r="Y786" s="7"/>
      <c r="Z786" s="7"/>
      <c r="AA786" s="7"/>
      <c r="AB786" s="7"/>
      <c r="AC786" s="7"/>
      <c r="AD786" s="7"/>
      <c r="AE786" s="7"/>
      <c r="AF786" s="7"/>
      <c r="AG786" s="7"/>
      <c r="AH786" s="7"/>
      <c r="AI786" s="7"/>
      <c r="AJ786" s="7"/>
      <c r="AK786" s="7"/>
      <c r="AL786" s="7"/>
    </row>
    <row r="787" spans="5:38" ht="15" x14ac:dyDescent="0.25">
      <c r="E787">
        <v>31741</v>
      </c>
      <c r="V787" s="7"/>
      <c r="W787" s="7"/>
      <c r="X787" s="7"/>
      <c r="Y787" s="7"/>
      <c r="Z787" s="7"/>
      <c r="AA787" s="7"/>
      <c r="AB787" s="7"/>
      <c r="AC787" s="7"/>
      <c r="AD787" s="7"/>
      <c r="AE787" s="7"/>
      <c r="AF787" s="7"/>
      <c r="AG787" s="7"/>
      <c r="AH787" s="7"/>
      <c r="AI787" s="7"/>
      <c r="AJ787" s="7"/>
      <c r="AK787" s="7"/>
      <c r="AL787" s="7"/>
    </row>
    <row r="788" spans="5:38" ht="15" x14ac:dyDescent="0.25">
      <c r="E788">
        <v>31785</v>
      </c>
      <c r="V788" s="7"/>
      <c r="W788" s="7"/>
      <c r="X788" s="7"/>
      <c r="Y788" s="7"/>
      <c r="Z788" s="7"/>
      <c r="AA788" s="7"/>
      <c r="AB788" s="7"/>
      <c r="AC788" s="7"/>
      <c r="AD788" s="7"/>
      <c r="AE788" s="7"/>
      <c r="AF788" s="7"/>
      <c r="AG788" s="7"/>
      <c r="AH788" s="7"/>
      <c r="AI788" s="7"/>
      <c r="AJ788" s="7"/>
      <c r="AK788" s="7"/>
      <c r="AL788" s="7"/>
    </row>
    <row r="789" spans="5:38" ht="15" x14ac:dyDescent="0.25">
      <c r="E789">
        <v>31697</v>
      </c>
      <c r="V789" s="7"/>
      <c r="W789" s="7"/>
      <c r="X789" s="7"/>
      <c r="Y789" s="7"/>
      <c r="Z789" s="7"/>
      <c r="AA789" s="7"/>
      <c r="AB789" s="7"/>
      <c r="AC789" s="7"/>
      <c r="AD789" s="7"/>
      <c r="AE789" s="7"/>
      <c r="AF789" s="7"/>
      <c r="AG789" s="7"/>
      <c r="AH789" s="7"/>
      <c r="AI789" s="7"/>
      <c r="AJ789" s="7"/>
      <c r="AK789" s="7"/>
      <c r="AL789" s="7"/>
    </row>
    <row r="790" spans="5:38" ht="15" x14ac:dyDescent="0.25">
      <c r="E790">
        <v>31599</v>
      </c>
      <c r="V790" s="7"/>
      <c r="W790" s="7"/>
      <c r="X790" s="7"/>
      <c r="Y790" s="7"/>
      <c r="Z790" s="7"/>
      <c r="AA790" s="7"/>
      <c r="AB790" s="7"/>
      <c r="AC790" s="7"/>
      <c r="AD790" s="7"/>
      <c r="AE790" s="7"/>
      <c r="AF790" s="7"/>
      <c r="AG790" s="7"/>
      <c r="AH790" s="7"/>
      <c r="AI790" s="7"/>
      <c r="AJ790" s="7"/>
      <c r="AK790" s="7"/>
      <c r="AL790" s="7"/>
    </row>
    <row r="791" spans="5:38" ht="15" x14ac:dyDescent="0.25">
      <c r="E791">
        <v>31646</v>
      </c>
      <c r="V791" s="7"/>
      <c r="W791" s="7"/>
      <c r="X791" s="7"/>
      <c r="Y791" s="7"/>
      <c r="Z791" s="7"/>
      <c r="AA791" s="7"/>
      <c r="AB791" s="7"/>
      <c r="AC791" s="7"/>
      <c r="AD791" s="7"/>
      <c r="AE791" s="7"/>
      <c r="AF791" s="7"/>
      <c r="AG791" s="7"/>
      <c r="AH791" s="7"/>
      <c r="AI791" s="7"/>
      <c r="AJ791" s="7"/>
      <c r="AK791" s="7"/>
      <c r="AL791" s="7"/>
    </row>
    <row r="792" spans="5:38" ht="15" x14ac:dyDescent="0.25">
      <c r="E792">
        <v>31561</v>
      </c>
      <c r="V792" s="7"/>
      <c r="W792" s="7"/>
      <c r="X792" s="7"/>
      <c r="Y792" s="7"/>
      <c r="Z792" s="7"/>
      <c r="AA792" s="7"/>
      <c r="AB792" s="7"/>
      <c r="AC792" s="7"/>
      <c r="AD792" s="7"/>
      <c r="AE792" s="7"/>
      <c r="AF792" s="7"/>
      <c r="AG792" s="7"/>
      <c r="AH792" s="7"/>
      <c r="AI792" s="7"/>
      <c r="AJ792" s="7"/>
      <c r="AK792" s="7"/>
      <c r="AL792" s="7"/>
    </row>
    <row r="793" spans="5:38" ht="15" x14ac:dyDescent="0.25">
      <c r="E793">
        <v>31644</v>
      </c>
      <c r="V793" s="7"/>
      <c r="W793" s="7"/>
      <c r="X793" s="7"/>
      <c r="Y793" s="7"/>
      <c r="Z793" s="7"/>
      <c r="AA793" s="7"/>
      <c r="AB793" s="7"/>
      <c r="AC793" s="7"/>
      <c r="AD793" s="7"/>
      <c r="AE793" s="7"/>
      <c r="AF793" s="7"/>
      <c r="AG793" s="7"/>
      <c r="AH793" s="7"/>
      <c r="AI793" s="7"/>
      <c r="AJ793" s="7"/>
      <c r="AK793" s="7"/>
      <c r="AL793" s="7"/>
    </row>
    <row r="794" spans="5:38" ht="15" x14ac:dyDescent="0.25">
      <c r="E794">
        <v>31603</v>
      </c>
      <c r="V794" s="7"/>
      <c r="W794" s="7"/>
      <c r="X794" s="7"/>
      <c r="Y794" s="7"/>
      <c r="Z794" s="7"/>
      <c r="AA794" s="7"/>
      <c r="AB794" s="7"/>
      <c r="AC794" s="7"/>
      <c r="AD794" s="7"/>
      <c r="AE794" s="7"/>
      <c r="AF794" s="7"/>
      <c r="AG794" s="7"/>
      <c r="AH794" s="7"/>
      <c r="AI794" s="7"/>
      <c r="AJ794" s="7"/>
      <c r="AK794" s="7"/>
      <c r="AL794" s="7"/>
    </row>
    <row r="795" spans="5:38" ht="15" x14ac:dyDescent="0.25">
      <c r="E795">
        <v>31498</v>
      </c>
      <c r="V795" s="7"/>
      <c r="W795" s="7"/>
      <c r="X795" s="7"/>
      <c r="Y795" s="7"/>
      <c r="Z795" s="7"/>
      <c r="AA795" s="7"/>
      <c r="AB795" s="7"/>
      <c r="AC795" s="7"/>
      <c r="AD795" s="7"/>
      <c r="AE795" s="7"/>
      <c r="AF795" s="7"/>
      <c r="AG795" s="7"/>
      <c r="AH795" s="7"/>
      <c r="AI795" s="7"/>
      <c r="AJ795" s="7"/>
      <c r="AK795" s="7"/>
      <c r="AL795" s="7"/>
    </row>
    <row r="796" spans="5:38" ht="15" x14ac:dyDescent="0.25">
      <c r="E796">
        <v>31460</v>
      </c>
      <c r="V796" s="7"/>
      <c r="W796" s="7"/>
      <c r="X796" s="7"/>
      <c r="Y796" s="7"/>
      <c r="Z796" s="7"/>
      <c r="AA796" s="7"/>
      <c r="AB796" s="7"/>
      <c r="AC796" s="7"/>
      <c r="AD796" s="7"/>
      <c r="AE796" s="7"/>
      <c r="AF796" s="7"/>
      <c r="AG796" s="7"/>
      <c r="AH796" s="7"/>
      <c r="AI796" s="7"/>
      <c r="AJ796" s="7"/>
      <c r="AK796" s="7"/>
      <c r="AL796" s="7"/>
    </row>
    <row r="797" spans="5:38" ht="15" x14ac:dyDescent="0.25">
      <c r="E797">
        <v>31565</v>
      </c>
      <c r="V797" s="7"/>
      <c r="W797" s="7"/>
      <c r="X797" s="7"/>
      <c r="Y797" s="7"/>
      <c r="Z797" s="7"/>
      <c r="AA797" s="7"/>
      <c r="AB797" s="7"/>
      <c r="AC797" s="7"/>
      <c r="AD797" s="7"/>
      <c r="AE797" s="7"/>
      <c r="AF797" s="7"/>
      <c r="AG797" s="7"/>
      <c r="AH797" s="7"/>
      <c r="AI797" s="7"/>
      <c r="AJ797" s="7"/>
      <c r="AK797" s="7"/>
      <c r="AL797" s="7"/>
    </row>
    <row r="798" spans="5:38" ht="15" x14ac:dyDescent="0.25">
      <c r="E798">
        <v>31545</v>
      </c>
      <c r="V798" s="7"/>
      <c r="W798" s="7"/>
      <c r="X798" s="7"/>
      <c r="Y798" s="7"/>
      <c r="Z798" s="7"/>
      <c r="AA798" s="7"/>
      <c r="AB798" s="7"/>
      <c r="AC798" s="7"/>
      <c r="AD798" s="7"/>
      <c r="AE798" s="7"/>
      <c r="AF798" s="7"/>
      <c r="AG798" s="7"/>
      <c r="AH798" s="7"/>
      <c r="AI798" s="7"/>
      <c r="AJ798" s="7"/>
      <c r="AK798" s="7"/>
      <c r="AL798" s="7"/>
    </row>
    <row r="799" spans="5:38" ht="15" x14ac:dyDescent="0.25">
      <c r="E799">
        <v>31492</v>
      </c>
      <c r="V799" s="7"/>
      <c r="W799" s="7"/>
      <c r="X799" s="7"/>
      <c r="Y799" s="7"/>
      <c r="Z799" s="7"/>
      <c r="AA799" s="7"/>
      <c r="AB799" s="7"/>
      <c r="AC799" s="7"/>
      <c r="AD799" s="7"/>
      <c r="AE799" s="7"/>
      <c r="AF799" s="7"/>
      <c r="AG799" s="7"/>
      <c r="AH799" s="7"/>
      <c r="AI799" s="7"/>
      <c r="AJ799" s="7"/>
      <c r="AK799" s="7"/>
      <c r="AL799" s="7"/>
    </row>
    <row r="800" spans="5:38" ht="15" x14ac:dyDescent="0.25">
      <c r="E800">
        <v>160</v>
      </c>
      <c r="V800" s="7"/>
      <c r="W800" s="7"/>
      <c r="X800" s="7"/>
      <c r="Y800" s="7"/>
      <c r="Z800" s="7"/>
      <c r="AA800" s="7"/>
      <c r="AB800" s="7"/>
      <c r="AC800" s="7"/>
      <c r="AD800" s="7"/>
      <c r="AE800" s="7"/>
      <c r="AF800" s="7"/>
      <c r="AG800" s="7"/>
      <c r="AH800" s="7"/>
      <c r="AI800" s="7"/>
      <c r="AJ800" s="7"/>
      <c r="AK800" s="7"/>
      <c r="AL800" s="7"/>
    </row>
    <row r="801" spans="5:38" ht="15" x14ac:dyDescent="0.25">
      <c r="E801">
        <v>31663</v>
      </c>
      <c r="V801" s="7"/>
      <c r="W801" s="7"/>
      <c r="X801" s="7"/>
      <c r="Y801" s="7"/>
      <c r="Z801" s="7"/>
      <c r="AA801" s="7"/>
      <c r="AB801" s="7"/>
      <c r="AC801" s="7"/>
      <c r="AD801" s="7"/>
      <c r="AE801" s="7"/>
      <c r="AF801" s="7"/>
      <c r="AG801" s="7"/>
      <c r="AH801" s="7"/>
      <c r="AI801" s="7"/>
      <c r="AJ801" s="7"/>
      <c r="AK801" s="7"/>
      <c r="AL801" s="7"/>
    </row>
    <row r="802" spans="5:38" ht="15" x14ac:dyDescent="0.25">
      <c r="E802">
        <v>31504</v>
      </c>
      <c r="V802" s="7"/>
      <c r="W802" s="7"/>
      <c r="X802" s="7"/>
      <c r="Y802" s="7"/>
      <c r="Z802" s="7"/>
      <c r="AA802" s="7"/>
      <c r="AB802" s="7"/>
      <c r="AC802" s="7"/>
      <c r="AD802" s="7"/>
      <c r="AE802" s="7"/>
      <c r="AF802" s="7"/>
      <c r="AG802" s="7"/>
      <c r="AH802" s="7"/>
      <c r="AI802" s="7"/>
      <c r="AJ802" s="7"/>
      <c r="AK802" s="7"/>
      <c r="AL802" s="7"/>
    </row>
    <row r="803" spans="5:38" ht="15" x14ac:dyDescent="0.25">
      <c r="E803">
        <v>31581</v>
      </c>
      <c r="V803" s="7"/>
      <c r="W803" s="7"/>
      <c r="X803" s="7"/>
      <c r="Y803" s="7"/>
      <c r="Z803" s="7"/>
      <c r="AA803" s="7"/>
      <c r="AB803" s="7"/>
      <c r="AC803" s="7"/>
      <c r="AD803" s="7"/>
      <c r="AE803" s="7"/>
      <c r="AF803" s="7"/>
      <c r="AG803" s="7"/>
      <c r="AH803" s="7"/>
      <c r="AI803" s="7"/>
      <c r="AJ803" s="7"/>
      <c r="AK803" s="7"/>
      <c r="AL803" s="7"/>
    </row>
    <row r="804" spans="5:38" ht="15" x14ac:dyDescent="0.25">
      <c r="E804">
        <v>31687</v>
      </c>
      <c r="V804" s="7"/>
      <c r="W804" s="7"/>
      <c r="X804" s="7"/>
      <c r="Y804" s="7"/>
      <c r="Z804" s="7"/>
      <c r="AA804" s="7"/>
      <c r="AB804" s="7"/>
      <c r="AC804" s="7"/>
      <c r="AD804" s="7"/>
      <c r="AE804" s="7"/>
      <c r="AF804" s="7"/>
      <c r="AG804" s="7"/>
      <c r="AH804" s="7"/>
      <c r="AI804" s="7"/>
      <c r="AJ804" s="7"/>
      <c r="AK804" s="7"/>
      <c r="AL804" s="7"/>
    </row>
    <row r="805" spans="5:38" ht="15" x14ac:dyDescent="0.25">
      <c r="E805">
        <v>31700</v>
      </c>
      <c r="V805" s="7"/>
      <c r="W805" s="7"/>
      <c r="X805" s="7"/>
      <c r="Y805" s="7"/>
      <c r="Z805" s="7"/>
      <c r="AA805" s="7"/>
      <c r="AB805" s="7"/>
      <c r="AC805" s="7"/>
      <c r="AD805" s="7"/>
      <c r="AE805" s="7"/>
      <c r="AF805" s="7"/>
      <c r="AG805" s="7"/>
      <c r="AH805" s="7"/>
      <c r="AI805" s="7"/>
      <c r="AJ805" s="7"/>
      <c r="AK805" s="7"/>
      <c r="AL805" s="7"/>
    </row>
    <row r="806" spans="5:38" ht="15" x14ac:dyDescent="0.25">
      <c r="E806">
        <v>31775</v>
      </c>
      <c r="V806" s="7"/>
      <c r="W806" s="7"/>
      <c r="X806" s="7"/>
      <c r="Y806" s="7"/>
      <c r="Z806" s="7"/>
      <c r="AA806" s="7"/>
      <c r="AB806" s="7"/>
      <c r="AC806" s="7"/>
      <c r="AD806" s="7"/>
      <c r="AE806" s="7"/>
      <c r="AF806" s="7"/>
      <c r="AG806" s="7"/>
      <c r="AH806" s="7"/>
      <c r="AI806" s="7"/>
      <c r="AJ806" s="7"/>
      <c r="AK806" s="7"/>
      <c r="AL806" s="7"/>
    </row>
    <row r="807" spans="5:38" ht="15" x14ac:dyDescent="0.25">
      <c r="E807">
        <v>31842</v>
      </c>
      <c r="V807" s="7"/>
      <c r="W807" s="7"/>
      <c r="X807" s="7"/>
      <c r="Y807" s="7"/>
      <c r="Z807" s="7"/>
      <c r="AA807" s="7"/>
      <c r="AB807" s="7"/>
      <c r="AC807" s="7"/>
      <c r="AD807" s="7"/>
      <c r="AE807" s="7"/>
      <c r="AF807" s="7"/>
      <c r="AG807" s="7"/>
      <c r="AH807" s="7"/>
      <c r="AI807" s="7"/>
      <c r="AJ807" s="7"/>
      <c r="AK807" s="7"/>
      <c r="AL807" s="7"/>
    </row>
    <row r="808" spans="5:38" ht="15" x14ac:dyDescent="0.25">
      <c r="E808">
        <v>31540</v>
      </c>
      <c r="V808" s="7"/>
      <c r="W808" s="7"/>
      <c r="X808" s="7"/>
      <c r="Y808" s="7"/>
      <c r="Z808" s="7"/>
      <c r="AA808" s="7"/>
      <c r="AB808" s="7"/>
      <c r="AC808" s="7"/>
      <c r="AD808" s="7"/>
      <c r="AE808" s="7"/>
      <c r="AF808" s="7"/>
      <c r="AG808" s="7"/>
      <c r="AH808" s="7"/>
      <c r="AI808" s="7"/>
      <c r="AJ808" s="7"/>
      <c r="AK808" s="7"/>
      <c r="AL808" s="7"/>
    </row>
    <row r="809" spans="5:38" ht="15" x14ac:dyDescent="0.25">
      <c r="E809">
        <v>31582</v>
      </c>
      <c r="V809" s="7"/>
      <c r="W809" s="7"/>
      <c r="X809" s="7"/>
      <c r="Y809" s="7"/>
      <c r="Z809" s="7"/>
      <c r="AA809" s="7"/>
      <c r="AB809" s="7"/>
      <c r="AC809" s="7"/>
      <c r="AD809" s="7"/>
      <c r="AE809" s="7"/>
      <c r="AF809" s="7"/>
      <c r="AG809" s="7"/>
      <c r="AH809" s="7"/>
      <c r="AI809" s="7"/>
      <c r="AJ809" s="7"/>
      <c r="AK809" s="7"/>
      <c r="AL809" s="7"/>
    </row>
    <row r="810" spans="5:38" ht="15" x14ac:dyDescent="0.25">
      <c r="E810">
        <v>31773</v>
      </c>
      <c r="V810" s="7"/>
      <c r="W810" s="7"/>
      <c r="X810" s="7"/>
      <c r="Y810" s="7"/>
      <c r="Z810" s="7"/>
      <c r="AA810" s="7"/>
      <c r="AB810" s="7"/>
      <c r="AC810" s="7"/>
      <c r="AD810" s="7"/>
      <c r="AE810" s="7"/>
      <c r="AF810" s="7"/>
      <c r="AG810" s="7"/>
      <c r="AH810" s="7"/>
      <c r="AI810" s="7"/>
      <c r="AJ810" s="7"/>
      <c r="AK810" s="7"/>
      <c r="AL810" s="7"/>
    </row>
    <row r="811" spans="5:38" ht="15" x14ac:dyDescent="0.25">
      <c r="E811">
        <v>159</v>
      </c>
      <c r="V811" s="7"/>
      <c r="W811" s="7"/>
      <c r="X811" s="7"/>
      <c r="Y811" s="7"/>
      <c r="Z811" s="7"/>
      <c r="AA811" s="7"/>
      <c r="AB811" s="7"/>
      <c r="AC811" s="7"/>
      <c r="AD811" s="7"/>
      <c r="AE811" s="7"/>
      <c r="AF811" s="7"/>
      <c r="AG811" s="7"/>
      <c r="AH811" s="7"/>
      <c r="AI811" s="7"/>
      <c r="AJ811" s="7"/>
      <c r="AK811" s="7"/>
      <c r="AL811" s="7"/>
    </row>
    <row r="812" spans="5:38" ht="15" x14ac:dyDescent="0.25">
      <c r="E812">
        <v>31549</v>
      </c>
      <c r="V812" s="7"/>
      <c r="W812" s="7"/>
      <c r="X812" s="7"/>
      <c r="Y812" s="7"/>
      <c r="Z812" s="7"/>
      <c r="AA812" s="7"/>
      <c r="AB812" s="7"/>
      <c r="AC812" s="7"/>
      <c r="AD812" s="7"/>
      <c r="AE812" s="7"/>
      <c r="AF812" s="7"/>
      <c r="AG812" s="7"/>
      <c r="AH812" s="7"/>
      <c r="AI812" s="7"/>
      <c r="AJ812" s="7"/>
      <c r="AK812" s="7"/>
      <c r="AL812" s="7"/>
    </row>
    <row r="813" spans="5:38" ht="15" x14ac:dyDescent="0.25">
      <c r="E813">
        <v>31660</v>
      </c>
      <c r="V813" s="7"/>
      <c r="W813" s="7"/>
      <c r="X813" s="7"/>
      <c r="Y813" s="7"/>
      <c r="Z813" s="7"/>
      <c r="AA813" s="7"/>
      <c r="AB813" s="7"/>
      <c r="AC813" s="7"/>
      <c r="AD813" s="7"/>
      <c r="AE813" s="7"/>
      <c r="AF813" s="7"/>
      <c r="AG813" s="7"/>
      <c r="AH813" s="7"/>
      <c r="AI813" s="7"/>
      <c r="AJ813" s="7"/>
      <c r="AK813" s="7"/>
      <c r="AL813" s="7"/>
    </row>
    <row r="814" spans="5:38" ht="15" x14ac:dyDescent="0.25">
      <c r="E814">
        <v>31564</v>
      </c>
      <c r="V814" s="7"/>
      <c r="W814" s="7"/>
      <c r="X814" s="7"/>
      <c r="Y814" s="7"/>
      <c r="Z814" s="7"/>
      <c r="AA814" s="7"/>
      <c r="AB814" s="7"/>
      <c r="AC814" s="7"/>
      <c r="AD814" s="7"/>
      <c r="AE814" s="7"/>
      <c r="AF814" s="7"/>
      <c r="AG814" s="7"/>
      <c r="AH814" s="7"/>
      <c r="AI814" s="7"/>
      <c r="AJ814" s="7"/>
      <c r="AK814" s="7"/>
      <c r="AL814" s="7"/>
    </row>
    <row r="815" spans="5:38" ht="15" x14ac:dyDescent="0.25">
      <c r="E815">
        <v>31548</v>
      </c>
      <c r="V815" s="7"/>
      <c r="W815" s="7"/>
      <c r="X815" s="7"/>
      <c r="Y815" s="7"/>
      <c r="Z815" s="7"/>
      <c r="AA815" s="7"/>
      <c r="AB815" s="7"/>
      <c r="AC815" s="7"/>
      <c r="AD815" s="7"/>
      <c r="AE815" s="7"/>
      <c r="AF815" s="7"/>
      <c r="AG815" s="7"/>
      <c r="AH815" s="7"/>
      <c r="AI815" s="7"/>
      <c r="AJ815" s="7"/>
      <c r="AK815" s="7"/>
      <c r="AL815" s="7"/>
    </row>
    <row r="816" spans="5:38" ht="15" x14ac:dyDescent="0.25">
      <c r="E816">
        <v>31704</v>
      </c>
      <c r="V816" s="7"/>
      <c r="W816" s="7"/>
      <c r="X816" s="7"/>
      <c r="Y816" s="7"/>
      <c r="Z816" s="7"/>
      <c r="AA816" s="7"/>
      <c r="AB816" s="7"/>
      <c r="AC816" s="7"/>
      <c r="AD816" s="7"/>
      <c r="AE816" s="7"/>
      <c r="AF816" s="7"/>
      <c r="AG816" s="7"/>
      <c r="AH816" s="7"/>
      <c r="AI816" s="7"/>
      <c r="AJ816" s="7"/>
      <c r="AK816" s="7"/>
      <c r="AL816" s="7"/>
    </row>
    <row r="817" spans="5:38" ht="15" x14ac:dyDescent="0.25">
      <c r="E817">
        <v>31462</v>
      </c>
      <c r="V817" s="7"/>
      <c r="W817" s="7"/>
      <c r="X817" s="7"/>
      <c r="Y817" s="7"/>
      <c r="Z817" s="7"/>
      <c r="AA817" s="7"/>
      <c r="AB817" s="7"/>
      <c r="AC817" s="7"/>
      <c r="AD817" s="7"/>
      <c r="AE817" s="7"/>
      <c r="AF817" s="7"/>
      <c r="AG817" s="7"/>
      <c r="AH817" s="7"/>
      <c r="AI817" s="7"/>
      <c r="AJ817" s="7"/>
      <c r="AK817" s="7"/>
      <c r="AL817" s="7"/>
    </row>
    <row r="818" spans="5:38" ht="15" x14ac:dyDescent="0.25">
      <c r="E818">
        <v>31674</v>
      </c>
      <c r="V818" s="7"/>
      <c r="W818" s="7"/>
      <c r="X818" s="7"/>
      <c r="Y818" s="7"/>
      <c r="Z818" s="7"/>
      <c r="AA818" s="7"/>
      <c r="AB818" s="7"/>
      <c r="AC818" s="7"/>
      <c r="AD818" s="7"/>
      <c r="AE818" s="7"/>
      <c r="AF818" s="7"/>
      <c r="AG818" s="7"/>
      <c r="AH818" s="7"/>
      <c r="AI818" s="7"/>
      <c r="AJ818" s="7"/>
      <c r="AK818" s="7"/>
      <c r="AL818" s="7"/>
    </row>
    <row r="819" spans="5:38" ht="15" x14ac:dyDescent="0.25">
      <c r="E819">
        <v>31841</v>
      </c>
      <c r="V819" s="7"/>
      <c r="W819" s="7"/>
      <c r="X819" s="7"/>
      <c r="Y819" s="7"/>
      <c r="Z819" s="7"/>
      <c r="AA819" s="7"/>
      <c r="AB819" s="7"/>
      <c r="AC819" s="7"/>
      <c r="AD819" s="7"/>
      <c r="AE819" s="7"/>
      <c r="AF819" s="7"/>
      <c r="AG819" s="7"/>
      <c r="AH819" s="7"/>
      <c r="AI819" s="7"/>
      <c r="AJ819" s="7"/>
      <c r="AK819" s="7"/>
      <c r="AL819" s="7"/>
    </row>
    <row r="820" spans="5:38" ht="15" x14ac:dyDescent="0.25">
      <c r="E820">
        <v>31686</v>
      </c>
      <c r="V820" s="7"/>
      <c r="W820" s="7"/>
      <c r="X820" s="7"/>
      <c r="Y820" s="7"/>
      <c r="Z820" s="7"/>
      <c r="AA820" s="7"/>
      <c r="AB820" s="7"/>
      <c r="AC820" s="7"/>
      <c r="AD820" s="7"/>
      <c r="AE820" s="7"/>
      <c r="AF820" s="7"/>
      <c r="AG820" s="7"/>
      <c r="AH820" s="7"/>
      <c r="AI820" s="7"/>
      <c r="AJ820" s="7"/>
      <c r="AK820" s="7"/>
      <c r="AL820" s="7"/>
    </row>
    <row r="821" spans="5:38" ht="15" x14ac:dyDescent="0.25">
      <c r="E821">
        <v>31796</v>
      </c>
      <c r="V821" s="7"/>
      <c r="W821" s="7"/>
      <c r="X821" s="7"/>
      <c r="Y821" s="7"/>
      <c r="Z821" s="7"/>
      <c r="AA821" s="7"/>
      <c r="AB821" s="7"/>
      <c r="AC821" s="7"/>
      <c r="AD821" s="7"/>
      <c r="AE821" s="7"/>
      <c r="AF821" s="7"/>
      <c r="AG821" s="7"/>
      <c r="AH821" s="7"/>
      <c r="AI821" s="7"/>
      <c r="AJ821" s="7"/>
      <c r="AK821" s="7"/>
      <c r="AL821" s="7"/>
    </row>
    <row r="822" spans="5:38" ht="15" x14ac:dyDescent="0.25">
      <c r="E822">
        <v>31794</v>
      </c>
      <c r="V822" s="7"/>
      <c r="W822" s="7"/>
      <c r="X822" s="7"/>
      <c r="Y822" s="7"/>
      <c r="Z822" s="7"/>
      <c r="AA822" s="7"/>
      <c r="AB822" s="7"/>
      <c r="AC822" s="7"/>
      <c r="AD822" s="7"/>
      <c r="AE822" s="7"/>
      <c r="AF822" s="7"/>
      <c r="AG822" s="7"/>
      <c r="AH822" s="7"/>
      <c r="AI822" s="7"/>
      <c r="AJ822" s="7"/>
      <c r="AK822" s="7"/>
      <c r="AL822" s="7"/>
    </row>
    <row r="823" spans="5:38" ht="15" x14ac:dyDescent="0.25">
      <c r="E823">
        <v>31571</v>
      </c>
      <c r="V823" s="7"/>
      <c r="W823" s="7"/>
      <c r="X823" s="7"/>
      <c r="Y823" s="7"/>
      <c r="Z823" s="7"/>
      <c r="AA823" s="7"/>
      <c r="AB823" s="7"/>
      <c r="AC823" s="7"/>
      <c r="AD823" s="7"/>
      <c r="AE823" s="7"/>
      <c r="AF823" s="7"/>
      <c r="AG823" s="7"/>
      <c r="AH823" s="7"/>
      <c r="AI823" s="7"/>
      <c r="AJ823" s="7"/>
      <c r="AK823" s="7"/>
      <c r="AL823" s="7"/>
    </row>
    <row r="824" spans="5:38" ht="15" x14ac:dyDescent="0.25">
      <c r="E824">
        <v>31500</v>
      </c>
      <c r="V824" s="7"/>
      <c r="W824" s="7"/>
      <c r="X824" s="7"/>
      <c r="Y824" s="7"/>
      <c r="Z824" s="7"/>
      <c r="AA824" s="7"/>
      <c r="AB824" s="7"/>
      <c r="AC824" s="7"/>
      <c r="AD824" s="7"/>
      <c r="AE824" s="7"/>
      <c r="AF824" s="7"/>
      <c r="AG824" s="7"/>
      <c r="AH824" s="7"/>
      <c r="AI824" s="7"/>
      <c r="AJ824" s="7"/>
      <c r="AK824" s="7"/>
      <c r="AL824" s="7"/>
    </row>
    <row r="825" spans="5:38" ht="15" x14ac:dyDescent="0.25">
      <c r="E825">
        <v>158</v>
      </c>
      <c r="V825" s="7"/>
      <c r="W825" s="7"/>
      <c r="X825" s="7"/>
      <c r="Y825" s="7"/>
      <c r="Z825" s="7"/>
      <c r="AA825" s="7"/>
      <c r="AB825" s="7"/>
      <c r="AC825" s="7"/>
      <c r="AD825" s="7"/>
      <c r="AE825" s="7"/>
      <c r="AF825" s="7"/>
      <c r="AG825" s="7"/>
      <c r="AH825" s="7"/>
      <c r="AI825" s="7"/>
      <c r="AJ825" s="7"/>
      <c r="AK825" s="7"/>
      <c r="AL825" s="7"/>
    </row>
    <row r="826" spans="5:38" ht="15" x14ac:dyDescent="0.25">
      <c r="E826">
        <v>31501</v>
      </c>
      <c r="V826" s="7"/>
      <c r="W826" s="7"/>
      <c r="X826" s="7"/>
      <c r="Y826" s="7"/>
      <c r="Z826" s="7"/>
      <c r="AA826" s="7"/>
      <c r="AB826" s="7"/>
      <c r="AC826" s="7"/>
      <c r="AD826" s="7"/>
      <c r="AE826" s="7"/>
      <c r="AF826" s="7"/>
      <c r="AG826" s="7"/>
      <c r="AH826" s="7"/>
      <c r="AI826" s="7"/>
      <c r="AJ826" s="7"/>
      <c r="AK826" s="7"/>
      <c r="AL826" s="7"/>
    </row>
    <row r="827" spans="5:38" ht="15" x14ac:dyDescent="0.25">
      <c r="E827">
        <v>31702</v>
      </c>
      <c r="V827" s="7"/>
      <c r="W827" s="7"/>
      <c r="X827" s="7"/>
      <c r="Y827" s="7"/>
      <c r="Z827" s="7"/>
      <c r="AA827" s="7"/>
      <c r="AB827" s="7"/>
      <c r="AC827" s="7"/>
      <c r="AD827" s="7"/>
      <c r="AE827" s="7"/>
      <c r="AF827" s="7"/>
      <c r="AG827" s="7"/>
      <c r="AH827" s="7"/>
      <c r="AI827" s="7"/>
      <c r="AJ827" s="7"/>
      <c r="AK827" s="7"/>
      <c r="AL827" s="7"/>
    </row>
    <row r="828" spans="5:38" ht="15" x14ac:dyDescent="0.25">
      <c r="E828">
        <v>31550</v>
      </c>
      <c r="V828" s="7"/>
      <c r="W828" s="7"/>
      <c r="X828" s="7"/>
      <c r="Y828" s="7"/>
      <c r="Z828" s="7"/>
      <c r="AA828" s="7"/>
      <c r="AB828" s="7"/>
      <c r="AC828" s="7"/>
      <c r="AD828" s="7"/>
      <c r="AE828" s="7"/>
      <c r="AF828" s="7"/>
      <c r="AG828" s="7"/>
      <c r="AH828" s="7"/>
      <c r="AI828" s="7"/>
      <c r="AJ828" s="7"/>
      <c r="AK828" s="7"/>
      <c r="AL828" s="7"/>
    </row>
    <row r="829" spans="5:38" ht="15" x14ac:dyDescent="0.25">
      <c r="E829">
        <v>31696</v>
      </c>
      <c r="V829" s="7"/>
      <c r="W829" s="7"/>
      <c r="X829" s="7"/>
      <c r="Y829" s="7"/>
      <c r="Z829" s="7"/>
      <c r="AA829" s="7"/>
      <c r="AB829" s="7"/>
      <c r="AC829" s="7"/>
      <c r="AD829" s="7"/>
      <c r="AE829" s="7"/>
      <c r="AF829" s="7"/>
      <c r="AG829" s="7"/>
      <c r="AH829" s="7"/>
      <c r="AI829" s="7"/>
      <c r="AJ829" s="7"/>
      <c r="AK829" s="7"/>
      <c r="AL829" s="7"/>
    </row>
    <row r="830" spans="5:38" ht="15" x14ac:dyDescent="0.25">
      <c r="E830">
        <v>31584</v>
      </c>
      <c r="V830" s="7"/>
      <c r="W830" s="7"/>
      <c r="X830" s="7"/>
      <c r="Y830" s="7"/>
      <c r="Z830" s="7"/>
      <c r="AA830" s="7"/>
      <c r="AB830" s="7"/>
      <c r="AC830" s="7"/>
      <c r="AD830" s="7"/>
      <c r="AE830" s="7"/>
      <c r="AF830" s="7"/>
      <c r="AG830" s="7"/>
      <c r="AH830" s="7"/>
      <c r="AI830" s="7"/>
      <c r="AJ830" s="7"/>
      <c r="AK830" s="7"/>
      <c r="AL830" s="7"/>
    </row>
    <row r="831" spans="5:38" ht="15" x14ac:dyDescent="0.25">
      <c r="E831">
        <v>31645</v>
      </c>
      <c r="V831" s="7"/>
      <c r="W831" s="7"/>
      <c r="X831" s="7"/>
      <c r="Y831" s="7"/>
      <c r="Z831" s="7"/>
      <c r="AA831" s="7"/>
      <c r="AB831" s="7"/>
      <c r="AC831" s="7"/>
      <c r="AD831" s="7"/>
      <c r="AE831" s="7"/>
      <c r="AF831" s="7"/>
      <c r="AG831" s="7"/>
      <c r="AH831" s="7"/>
      <c r="AI831" s="7"/>
      <c r="AJ831" s="7"/>
      <c r="AK831" s="7"/>
      <c r="AL831" s="7"/>
    </row>
    <row r="832" spans="5:38" ht="15" x14ac:dyDescent="0.25">
      <c r="E832">
        <v>31802</v>
      </c>
      <c r="V832" s="7"/>
      <c r="W832" s="7"/>
      <c r="X832" s="7"/>
      <c r="Y832" s="7"/>
      <c r="Z832" s="7"/>
      <c r="AA832" s="7"/>
      <c r="AB832" s="7"/>
      <c r="AC832" s="7"/>
      <c r="AD832" s="7"/>
      <c r="AE832" s="7"/>
      <c r="AF832" s="7"/>
      <c r="AG832" s="7"/>
      <c r="AH832" s="7"/>
      <c r="AI832" s="7"/>
      <c r="AJ832" s="7"/>
      <c r="AK832" s="7"/>
      <c r="AL832" s="7"/>
    </row>
    <row r="833" spans="5:38" ht="15" x14ac:dyDescent="0.25">
      <c r="E833">
        <v>31503</v>
      </c>
      <c r="V833" s="7"/>
      <c r="W833" s="7"/>
      <c r="X833" s="7"/>
      <c r="Y833" s="7"/>
      <c r="Z833" s="7"/>
      <c r="AA833" s="7"/>
      <c r="AB833" s="7"/>
      <c r="AC833" s="7"/>
      <c r="AD833" s="7"/>
      <c r="AE833" s="7"/>
      <c r="AF833" s="7"/>
      <c r="AG833" s="7"/>
      <c r="AH833" s="7"/>
      <c r="AI833" s="7"/>
      <c r="AJ833" s="7"/>
      <c r="AK833" s="7"/>
      <c r="AL833" s="7"/>
    </row>
    <row r="834" spans="5:38" ht="15" x14ac:dyDescent="0.25">
      <c r="E834">
        <v>31583</v>
      </c>
      <c r="V834" s="7"/>
      <c r="W834" s="7"/>
      <c r="X834" s="7"/>
      <c r="Y834" s="7"/>
      <c r="Z834" s="7"/>
      <c r="AA834" s="7"/>
      <c r="AB834" s="7"/>
      <c r="AC834" s="7"/>
      <c r="AD834" s="7"/>
      <c r="AE834" s="7"/>
      <c r="AF834" s="7"/>
      <c r="AG834" s="7"/>
      <c r="AH834" s="7"/>
      <c r="AI834" s="7"/>
      <c r="AJ834" s="7"/>
      <c r="AK834" s="7"/>
      <c r="AL834" s="7"/>
    </row>
    <row r="835" spans="5:38" ht="15" x14ac:dyDescent="0.25">
      <c r="E835">
        <v>31695</v>
      </c>
      <c r="V835" s="7"/>
      <c r="W835" s="7"/>
      <c r="X835" s="7"/>
      <c r="Y835" s="7"/>
      <c r="Z835" s="7"/>
      <c r="AA835" s="7"/>
      <c r="AB835" s="7"/>
      <c r="AC835" s="7"/>
      <c r="AD835" s="7"/>
      <c r="AE835" s="7"/>
      <c r="AF835" s="7"/>
      <c r="AG835" s="7"/>
      <c r="AH835" s="7"/>
      <c r="AI835" s="7"/>
      <c r="AJ835" s="7"/>
      <c r="AK835" s="7"/>
      <c r="AL835" s="7"/>
    </row>
    <row r="836" spans="5:38" ht="15" x14ac:dyDescent="0.25">
      <c r="E836">
        <v>31797</v>
      </c>
      <c r="V836" s="7"/>
      <c r="W836" s="7"/>
      <c r="X836" s="7"/>
      <c r="Y836" s="7"/>
      <c r="Z836" s="7"/>
      <c r="AA836" s="7"/>
      <c r="AB836" s="7"/>
      <c r="AC836" s="7"/>
      <c r="AD836" s="7"/>
      <c r="AE836" s="7"/>
      <c r="AF836" s="7"/>
      <c r="AG836" s="7"/>
      <c r="AH836" s="7"/>
      <c r="AI836" s="7"/>
      <c r="AJ836" s="7"/>
      <c r="AK836" s="7"/>
      <c r="AL836" s="7"/>
    </row>
    <row r="837" spans="5:38" ht="15" x14ac:dyDescent="0.25">
      <c r="E837">
        <v>31667</v>
      </c>
      <c r="V837" s="7"/>
      <c r="W837" s="7"/>
      <c r="X837" s="7"/>
      <c r="Y837" s="7"/>
      <c r="Z837" s="7"/>
      <c r="AA837" s="7"/>
      <c r="AB837" s="7"/>
      <c r="AC837" s="7"/>
      <c r="AD837" s="7"/>
      <c r="AE837" s="7"/>
      <c r="AF837" s="7"/>
      <c r="AG837" s="7"/>
      <c r="AH837" s="7"/>
      <c r="AI837" s="7"/>
      <c r="AJ837" s="7"/>
      <c r="AK837" s="7"/>
      <c r="AL837" s="7"/>
    </row>
    <row r="838" spans="5:38" ht="15" x14ac:dyDescent="0.25">
      <c r="E838">
        <v>31774</v>
      </c>
      <c r="V838" s="7"/>
      <c r="W838" s="7"/>
      <c r="X838" s="7"/>
      <c r="Y838" s="7"/>
      <c r="Z838" s="7"/>
      <c r="AA838" s="7"/>
      <c r="AB838" s="7"/>
      <c r="AC838" s="7"/>
      <c r="AD838" s="7"/>
      <c r="AE838" s="7"/>
      <c r="AF838" s="7"/>
      <c r="AG838" s="7"/>
      <c r="AH838" s="7"/>
      <c r="AI838" s="7"/>
      <c r="AJ838" s="7"/>
      <c r="AK838" s="7"/>
      <c r="AL838" s="7"/>
    </row>
    <row r="839" spans="5:38" ht="15" x14ac:dyDescent="0.25">
      <c r="E839">
        <v>31585</v>
      </c>
      <c r="V839" s="7"/>
      <c r="W839" s="7"/>
      <c r="X839" s="7"/>
      <c r="Y839" s="7"/>
      <c r="Z839" s="7"/>
      <c r="AA839" s="7"/>
      <c r="AB839" s="7"/>
      <c r="AC839" s="7"/>
      <c r="AD839" s="7"/>
      <c r="AE839" s="7"/>
      <c r="AF839" s="7"/>
      <c r="AG839" s="7"/>
      <c r="AH839" s="7"/>
      <c r="AI839" s="7"/>
      <c r="AJ839" s="7"/>
      <c r="AK839" s="7"/>
      <c r="AL839" s="7"/>
    </row>
    <row r="840" spans="5:38" ht="15" x14ac:dyDescent="0.25">
      <c r="E840">
        <v>31771</v>
      </c>
      <c r="V840" s="7"/>
      <c r="W840" s="7"/>
      <c r="X840" s="7"/>
      <c r="Y840" s="7"/>
      <c r="Z840" s="7"/>
      <c r="AA840" s="7"/>
      <c r="AB840" s="7"/>
      <c r="AC840" s="7"/>
      <c r="AD840" s="7"/>
      <c r="AE840" s="7"/>
      <c r="AF840" s="7"/>
      <c r="AG840" s="7"/>
      <c r="AH840" s="7"/>
      <c r="AI840" s="7"/>
      <c r="AJ840" s="7"/>
      <c r="AK840" s="7"/>
      <c r="AL840" s="7"/>
    </row>
    <row r="841" spans="5:38" ht="15" x14ac:dyDescent="0.25">
      <c r="E841">
        <v>31600</v>
      </c>
      <c r="V841" s="7"/>
      <c r="W841" s="7"/>
      <c r="X841" s="7"/>
      <c r="Y841" s="7"/>
      <c r="Z841" s="7"/>
      <c r="AA841" s="7"/>
      <c r="AB841" s="7"/>
      <c r="AC841" s="7"/>
      <c r="AD841" s="7"/>
      <c r="AE841" s="7"/>
      <c r="AF841" s="7"/>
      <c r="AG841" s="7"/>
      <c r="AH841" s="7"/>
      <c r="AI841" s="7"/>
      <c r="AJ841" s="7"/>
      <c r="AK841" s="7"/>
      <c r="AL841" s="7"/>
    </row>
    <row r="842" spans="5:38" ht="15" x14ac:dyDescent="0.25">
      <c r="E842">
        <v>31666</v>
      </c>
      <c r="V842" s="7"/>
      <c r="W842" s="7"/>
      <c r="X842" s="7"/>
      <c r="Y842" s="7"/>
      <c r="Z842" s="7"/>
      <c r="AA842" s="7"/>
      <c r="AB842" s="7"/>
      <c r="AC842" s="7"/>
      <c r="AD842" s="7"/>
      <c r="AE842" s="7"/>
      <c r="AF842" s="7"/>
      <c r="AG842" s="7"/>
      <c r="AH842" s="7"/>
      <c r="AI842" s="7"/>
      <c r="AJ842" s="7"/>
      <c r="AK842" s="7"/>
      <c r="AL842" s="7"/>
    </row>
    <row r="843" spans="5:38" ht="15" x14ac:dyDescent="0.25">
      <c r="E843">
        <v>31791</v>
      </c>
      <c r="V843" s="7"/>
      <c r="W843" s="7"/>
      <c r="X843" s="7"/>
      <c r="Y843" s="7"/>
      <c r="Z843" s="7"/>
      <c r="AA843" s="7"/>
      <c r="AB843" s="7"/>
      <c r="AC843" s="7"/>
      <c r="AD843" s="7"/>
      <c r="AE843" s="7"/>
      <c r="AF843" s="7"/>
      <c r="AG843" s="7"/>
      <c r="AH843" s="7"/>
      <c r="AI843" s="7"/>
      <c r="AJ843" s="7"/>
      <c r="AK843" s="7"/>
      <c r="AL843" s="7"/>
    </row>
    <row r="844" spans="5:38" ht="15" x14ac:dyDescent="0.25">
      <c r="E844">
        <v>31789</v>
      </c>
      <c r="V844" s="7"/>
      <c r="W844" s="7"/>
      <c r="X844" s="7"/>
      <c r="Y844" s="7"/>
      <c r="Z844" s="7"/>
      <c r="AA844" s="7"/>
      <c r="AB844" s="7"/>
      <c r="AC844" s="7"/>
      <c r="AD844" s="7"/>
      <c r="AE844" s="7"/>
      <c r="AF844" s="7"/>
      <c r="AG844" s="7"/>
      <c r="AH844" s="7"/>
      <c r="AI844" s="7"/>
      <c r="AJ844" s="7"/>
      <c r="AK844" s="7"/>
      <c r="AL844" s="7"/>
    </row>
    <row r="845" spans="5:38" ht="15" x14ac:dyDescent="0.25">
      <c r="E845">
        <v>31798</v>
      </c>
      <c r="V845" s="7"/>
      <c r="W845" s="7"/>
      <c r="X845" s="7"/>
      <c r="Y845" s="7"/>
      <c r="Z845" s="7"/>
      <c r="AA845" s="7"/>
      <c r="AB845" s="7"/>
      <c r="AC845" s="7"/>
      <c r="AD845" s="7"/>
      <c r="AE845" s="7"/>
      <c r="AF845" s="7"/>
      <c r="AG845" s="7"/>
      <c r="AH845" s="7"/>
      <c r="AI845" s="7"/>
      <c r="AJ845" s="7"/>
      <c r="AK845" s="7"/>
      <c r="AL845" s="7"/>
    </row>
    <row r="846" spans="5:38" ht="15" x14ac:dyDescent="0.25">
      <c r="E846">
        <v>161</v>
      </c>
      <c r="V846" s="7"/>
      <c r="W846" s="7"/>
      <c r="X846" s="7"/>
      <c r="Y846" s="7"/>
      <c r="Z846" s="7"/>
      <c r="AA846" s="7"/>
      <c r="AB846" s="7"/>
      <c r="AC846" s="7"/>
      <c r="AD846" s="7"/>
      <c r="AE846" s="7"/>
      <c r="AF846" s="7"/>
      <c r="AG846" s="7"/>
      <c r="AH846" s="7"/>
      <c r="AI846" s="7"/>
      <c r="AJ846" s="7"/>
      <c r="AK846" s="7"/>
      <c r="AL846" s="7"/>
    </row>
    <row r="847" spans="5:38" ht="15" x14ac:dyDescent="0.25">
      <c r="E847">
        <v>31586</v>
      </c>
      <c r="V847" s="7"/>
      <c r="W847" s="7"/>
      <c r="X847" s="7"/>
      <c r="Y847" s="7"/>
      <c r="Z847" s="7"/>
      <c r="AA847" s="7"/>
      <c r="AB847" s="7"/>
      <c r="AC847" s="7"/>
      <c r="AD847" s="7"/>
      <c r="AE847" s="7"/>
      <c r="AF847" s="7"/>
      <c r="AG847" s="7"/>
      <c r="AH847" s="7"/>
      <c r="AI847" s="7"/>
      <c r="AJ847" s="7"/>
      <c r="AK847" s="7"/>
      <c r="AL847" s="7"/>
    </row>
    <row r="848" spans="5:38" ht="15" x14ac:dyDescent="0.25">
      <c r="E848">
        <v>31589</v>
      </c>
      <c r="V848" s="7"/>
      <c r="W848" s="7"/>
      <c r="X848" s="7"/>
      <c r="Y848" s="7"/>
      <c r="Z848" s="7"/>
      <c r="AA848" s="7"/>
      <c r="AB848" s="7"/>
      <c r="AC848" s="7"/>
      <c r="AD848" s="7"/>
      <c r="AE848" s="7"/>
      <c r="AF848" s="7"/>
      <c r="AG848" s="7"/>
      <c r="AH848" s="7"/>
      <c r="AI848" s="7"/>
      <c r="AJ848" s="7"/>
      <c r="AK848" s="7"/>
      <c r="AL848" s="7"/>
    </row>
    <row r="849" spans="5:38" ht="15" x14ac:dyDescent="0.25">
      <c r="E849">
        <v>31703</v>
      </c>
      <c r="V849" s="7"/>
      <c r="W849" s="7"/>
      <c r="X849" s="7"/>
      <c r="Y849" s="7"/>
      <c r="Z849" s="7"/>
      <c r="AA849" s="7"/>
      <c r="AB849" s="7"/>
      <c r="AC849" s="7"/>
      <c r="AD849" s="7"/>
      <c r="AE849" s="7"/>
      <c r="AF849" s="7"/>
      <c r="AG849" s="7"/>
      <c r="AH849" s="7"/>
      <c r="AI849" s="7"/>
      <c r="AJ849" s="7"/>
      <c r="AK849" s="7"/>
      <c r="AL849" s="7"/>
    </row>
    <row r="850" spans="5:38" ht="15" x14ac:dyDescent="0.25">
      <c r="E850">
        <v>31570</v>
      </c>
      <c r="V850" s="7"/>
      <c r="W850" s="7"/>
      <c r="X850" s="7"/>
      <c r="Y850" s="7"/>
      <c r="Z850" s="7"/>
      <c r="AA850" s="7"/>
      <c r="AB850" s="7"/>
      <c r="AC850" s="7"/>
      <c r="AD850" s="7"/>
      <c r="AE850" s="7"/>
      <c r="AF850" s="7"/>
      <c r="AG850" s="7"/>
      <c r="AH850" s="7"/>
      <c r="AI850" s="7"/>
      <c r="AJ850" s="7"/>
      <c r="AK850" s="7"/>
      <c r="AL850" s="7"/>
    </row>
    <row r="851" spans="5:38" ht="15" x14ac:dyDescent="0.25">
      <c r="E851">
        <v>31803</v>
      </c>
      <c r="V851" s="7"/>
      <c r="W851" s="7"/>
      <c r="X851" s="7"/>
      <c r="Y851" s="7"/>
      <c r="Z851" s="7"/>
      <c r="AA851" s="7"/>
      <c r="AB851" s="7"/>
      <c r="AC851" s="7"/>
      <c r="AD851" s="7"/>
      <c r="AE851" s="7"/>
      <c r="AF851" s="7"/>
      <c r="AG851" s="7"/>
      <c r="AH851" s="7"/>
      <c r="AI851" s="7"/>
      <c r="AJ851" s="7"/>
      <c r="AK851" s="7"/>
      <c r="AL851" s="7"/>
    </row>
    <row r="852" spans="5:38" ht="15" x14ac:dyDescent="0.25">
      <c r="E852">
        <v>162</v>
      </c>
      <c r="V852" s="7"/>
      <c r="W852" s="7"/>
      <c r="X852" s="7"/>
      <c r="Y852" s="7"/>
      <c r="Z852" s="7"/>
      <c r="AA852" s="7"/>
      <c r="AB852" s="7"/>
      <c r="AC852" s="7"/>
      <c r="AD852" s="7"/>
      <c r="AE852" s="7"/>
      <c r="AF852" s="7"/>
      <c r="AG852" s="7"/>
      <c r="AH852" s="7"/>
      <c r="AI852" s="7"/>
      <c r="AJ852" s="7"/>
      <c r="AK852" s="7"/>
      <c r="AL852" s="7"/>
    </row>
    <row r="853" spans="5:38" ht="15" x14ac:dyDescent="0.25">
      <c r="E853">
        <v>31804</v>
      </c>
      <c r="V853" s="7"/>
      <c r="W853" s="7"/>
      <c r="X853" s="7"/>
      <c r="Y853" s="7"/>
      <c r="Z853" s="7"/>
      <c r="AA853" s="7"/>
      <c r="AB853" s="7"/>
      <c r="AC853" s="7"/>
      <c r="AD853" s="7"/>
      <c r="AE853" s="7"/>
      <c r="AF853" s="7"/>
      <c r="AG853" s="7"/>
      <c r="AH853" s="7"/>
      <c r="AI853" s="7"/>
      <c r="AJ853" s="7"/>
      <c r="AK853" s="7"/>
      <c r="AL853" s="7"/>
    </row>
    <row r="854" spans="5:38" ht="15" x14ac:dyDescent="0.25">
      <c r="E854">
        <v>31688</v>
      </c>
      <c r="V854" s="7"/>
      <c r="W854" s="7"/>
      <c r="X854" s="7"/>
      <c r="Y854" s="7"/>
      <c r="Z854" s="7"/>
      <c r="AA854" s="7"/>
      <c r="AB854" s="7"/>
      <c r="AC854" s="7"/>
      <c r="AD854" s="7"/>
      <c r="AE854" s="7"/>
      <c r="AF854" s="7"/>
      <c r="AG854" s="7"/>
      <c r="AH854" s="7"/>
      <c r="AI854" s="7"/>
      <c r="AJ854" s="7"/>
      <c r="AK854" s="7"/>
      <c r="AL854" s="7"/>
    </row>
    <row r="855" spans="5:38" ht="15" x14ac:dyDescent="0.25">
      <c r="E855">
        <v>31546</v>
      </c>
      <c r="V855" s="7"/>
      <c r="W855" s="7"/>
      <c r="X855" s="7"/>
      <c r="Y855" s="7"/>
      <c r="Z855" s="7"/>
      <c r="AA855" s="7"/>
      <c r="AB855" s="7"/>
      <c r="AC855" s="7"/>
      <c r="AD855" s="7"/>
      <c r="AE855" s="7"/>
      <c r="AF855" s="7"/>
      <c r="AG855" s="7"/>
      <c r="AH855" s="7"/>
      <c r="AI855" s="7"/>
      <c r="AJ855" s="7"/>
      <c r="AK855" s="7"/>
      <c r="AL855" s="7"/>
    </row>
    <row r="856" spans="5:38" ht="15" x14ac:dyDescent="0.25">
      <c r="E856">
        <v>31604</v>
      </c>
      <c r="V856" s="7"/>
      <c r="W856" s="7"/>
      <c r="X856" s="7"/>
      <c r="Y856" s="7"/>
      <c r="Z856" s="7"/>
      <c r="AA856" s="7"/>
      <c r="AB856" s="7"/>
      <c r="AC856" s="7"/>
      <c r="AD856" s="7"/>
      <c r="AE856" s="7"/>
      <c r="AF856" s="7"/>
      <c r="AG856" s="7"/>
      <c r="AH856" s="7"/>
      <c r="AI856" s="7"/>
      <c r="AJ856" s="7"/>
      <c r="AK856" s="7"/>
      <c r="AL856" s="7"/>
    </row>
    <row r="857" spans="5:38" ht="15" x14ac:dyDescent="0.25">
      <c r="E857">
        <v>31800</v>
      </c>
      <c r="V857" s="7"/>
      <c r="W857" s="7"/>
      <c r="X857" s="7"/>
      <c r="Y857" s="7"/>
      <c r="Z857" s="7"/>
      <c r="AA857" s="7"/>
      <c r="AB857" s="7"/>
      <c r="AC857" s="7"/>
      <c r="AD857" s="7"/>
      <c r="AE857" s="7"/>
      <c r="AF857" s="7"/>
      <c r="AG857" s="7"/>
      <c r="AH857" s="7"/>
      <c r="AI857" s="7"/>
      <c r="AJ857" s="7"/>
      <c r="AK857" s="7"/>
      <c r="AL857" s="7"/>
    </row>
    <row r="858" spans="5:38" ht="15" x14ac:dyDescent="0.25">
      <c r="E858">
        <v>31665</v>
      </c>
      <c r="V858" s="7"/>
      <c r="W858" s="7"/>
      <c r="X858" s="7"/>
      <c r="Y858" s="7"/>
      <c r="Z858" s="7"/>
      <c r="AA858" s="7"/>
      <c r="AB858" s="7"/>
      <c r="AC858" s="7"/>
      <c r="AD858" s="7"/>
      <c r="AE858" s="7"/>
      <c r="AF858" s="7"/>
      <c r="AG858" s="7"/>
      <c r="AH858" s="7"/>
      <c r="AI858" s="7"/>
      <c r="AJ858" s="7"/>
      <c r="AK858" s="7"/>
      <c r="AL858" s="7"/>
    </row>
    <row r="859" spans="5:38" ht="15" x14ac:dyDescent="0.25">
      <c r="E859">
        <v>31701</v>
      </c>
      <c r="V859" s="7"/>
      <c r="W859" s="7"/>
      <c r="X859" s="7"/>
      <c r="Y859" s="7"/>
      <c r="Z859" s="7"/>
      <c r="AA859" s="7"/>
      <c r="AB859" s="7"/>
      <c r="AC859" s="7"/>
      <c r="AD859" s="7"/>
      <c r="AE859" s="7"/>
      <c r="AF859" s="7"/>
      <c r="AG859" s="7"/>
      <c r="AH859" s="7"/>
      <c r="AI859" s="7"/>
      <c r="AJ859" s="7"/>
      <c r="AK859" s="7"/>
      <c r="AL859" s="7"/>
    </row>
    <row r="860" spans="5:38" ht="15" x14ac:dyDescent="0.25">
      <c r="E860">
        <v>31481</v>
      </c>
      <c r="V860" s="7"/>
      <c r="W860" s="7"/>
      <c r="X860" s="7"/>
      <c r="Y860" s="7"/>
      <c r="Z860" s="7"/>
      <c r="AA860" s="7"/>
      <c r="AB860" s="7"/>
      <c r="AC860" s="7"/>
      <c r="AD860" s="7"/>
      <c r="AE860" s="7"/>
      <c r="AF860" s="7"/>
      <c r="AG860" s="7"/>
      <c r="AH860" s="7"/>
      <c r="AI860" s="7"/>
      <c r="AJ860" s="7"/>
      <c r="AK860" s="7"/>
      <c r="AL860" s="7"/>
    </row>
    <row r="861" spans="5:38" ht="15" x14ac:dyDescent="0.25">
      <c r="E861">
        <v>31693</v>
      </c>
      <c r="V861" s="7"/>
      <c r="W861" s="7"/>
      <c r="X861" s="7"/>
      <c r="Y861" s="7"/>
      <c r="Z861" s="7"/>
      <c r="AA861" s="7"/>
      <c r="AB861" s="7"/>
      <c r="AC861" s="7"/>
      <c r="AD861" s="7"/>
      <c r="AE861" s="7"/>
      <c r="AF861" s="7"/>
      <c r="AG861" s="7"/>
      <c r="AH861" s="7"/>
      <c r="AI861" s="7"/>
      <c r="AJ861" s="7"/>
      <c r="AK861" s="7"/>
      <c r="AL861" s="7"/>
    </row>
    <row r="862" spans="5:38" ht="15" x14ac:dyDescent="0.25">
      <c r="E862">
        <v>31579</v>
      </c>
      <c r="V862" s="7"/>
      <c r="W862" s="7"/>
      <c r="X862" s="7"/>
      <c r="Y862" s="7"/>
      <c r="Z862" s="7"/>
      <c r="AA862" s="7"/>
      <c r="AB862" s="7"/>
      <c r="AC862" s="7"/>
      <c r="AD862" s="7"/>
      <c r="AE862" s="7"/>
      <c r="AF862" s="7"/>
      <c r="AG862" s="7"/>
      <c r="AH862" s="7"/>
      <c r="AI862" s="7"/>
      <c r="AJ862" s="7"/>
      <c r="AK862" s="7"/>
      <c r="AL862" s="7"/>
    </row>
    <row r="863" spans="5:38" ht="15" x14ac:dyDescent="0.25">
      <c r="E863">
        <v>31569</v>
      </c>
      <c r="V863" s="7"/>
      <c r="W863" s="7"/>
      <c r="X863" s="7"/>
      <c r="Y863" s="7"/>
      <c r="Z863" s="7"/>
      <c r="AA863" s="7"/>
      <c r="AB863" s="7"/>
      <c r="AC863" s="7"/>
      <c r="AD863" s="7"/>
      <c r="AE863" s="7"/>
      <c r="AF863" s="7"/>
      <c r="AG863" s="7"/>
      <c r="AH863" s="7"/>
      <c r="AI863" s="7"/>
      <c r="AJ863" s="7"/>
      <c r="AK863" s="7"/>
      <c r="AL863" s="7"/>
    </row>
    <row r="864" spans="5:38" ht="15" x14ac:dyDescent="0.25">
      <c r="E864">
        <v>31699</v>
      </c>
      <c r="V864" s="7"/>
      <c r="W864" s="7"/>
      <c r="X864" s="7"/>
      <c r="Y864" s="7"/>
      <c r="Z864" s="7"/>
      <c r="AA864" s="7"/>
      <c r="AB864" s="7"/>
      <c r="AC864" s="7"/>
      <c r="AD864" s="7"/>
      <c r="AE864" s="7"/>
      <c r="AF864" s="7"/>
      <c r="AG864" s="7"/>
      <c r="AH864" s="7"/>
      <c r="AI864" s="7"/>
      <c r="AJ864" s="7"/>
      <c r="AK864" s="7"/>
      <c r="AL864" s="7"/>
    </row>
    <row r="865" spans="5:38" ht="15" x14ac:dyDescent="0.25">
      <c r="E865">
        <v>31588</v>
      </c>
      <c r="V865" s="7"/>
      <c r="W865" s="7"/>
      <c r="X865" s="7"/>
      <c r="Y865" s="7"/>
      <c r="Z865" s="7"/>
      <c r="AA865" s="7"/>
      <c r="AB865" s="7"/>
      <c r="AC865" s="7"/>
      <c r="AD865" s="7"/>
      <c r="AE865" s="7"/>
      <c r="AF865" s="7"/>
      <c r="AG865" s="7"/>
      <c r="AH865" s="7"/>
      <c r="AI865" s="7"/>
      <c r="AJ865" s="7"/>
      <c r="AK865" s="7"/>
      <c r="AL865" s="7"/>
    </row>
    <row r="866" spans="5:38" ht="15" x14ac:dyDescent="0.25">
      <c r="E866">
        <v>31592</v>
      </c>
      <c r="V866" s="7"/>
      <c r="W866" s="7"/>
      <c r="X866" s="7"/>
      <c r="Y866" s="7"/>
      <c r="Z866" s="7"/>
      <c r="AA866" s="7"/>
      <c r="AB866" s="7"/>
      <c r="AC866" s="7"/>
      <c r="AD866" s="7"/>
      <c r="AE866" s="7"/>
      <c r="AF866" s="7"/>
      <c r="AG866" s="7"/>
      <c r="AH866" s="7"/>
      <c r="AI866" s="7"/>
      <c r="AJ866" s="7"/>
      <c r="AK866" s="7"/>
      <c r="AL866" s="7"/>
    </row>
    <row r="867" spans="5:38" ht="15" x14ac:dyDescent="0.25">
      <c r="E867">
        <v>157</v>
      </c>
      <c r="V867" s="7"/>
      <c r="W867" s="7"/>
      <c r="X867" s="7"/>
      <c r="Y867" s="7"/>
      <c r="Z867" s="7"/>
      <c r="AA867" s="7"/>
      <c r="AB867" s="7"/>
      <c r="AC867" s="7"/>
      <c r="AD867" s="7"/>
      <c r="AE867" s="7"/>
      <c r="AF867" s="7"/>
      <c r="AG867" s="7"/>
      <c r="AH867" s="7"/>
      <c r="AI867" s="7"/>
      <c r="AJ867" s="7"/>
      <c r="AK867" s="7"/>
      <c r="AL867" s="7"/>
    </row>
    <row r="868" spans="5:38" ht="15" x14ac:dyDescent="0.25">
      <c r="E868">
        <v>31664</v>
      </c>
      <c r="V868" s="7"/>
      <c r="W868" s="7"/>
      <c r="X868" s="7"/>
      <c r="Y868" s="7"/>
      <c r="Z868" s="7"/>
      <c r="AA868" s="7"/>
      <c r="AB868" s="7"/>
      <c r="AC868" s="7"/>
      <c r="AD868" s="7"/>
      <c r="AE868" s="7"/>
      <c r="AF868" s="7"/>
      <c r="AG868" s="7"/>
      <c r="AH868" s="7"/>
      <c r="AI868" s="7"/>
      <c r="AJ868" s="7"/>
      <c r="AK868" s="7"/>
      <c r="AL868" s="7"/>
    </row>
    <row r="869" spans="5:38" ht="15" x14ac:dyDescent="0.25">
      <c r="E869">
        <v>31772</v>
      </c>
      <c r="V869" s="7"/>
      <c r="W869" s="7"/>
      <c r="X869" s="7"/>
      <c r="Y869" s="7"/>
      <c r="Z869" s="7"/>
      <c r="AA869" s="7"/>
      <c r="AB869" s="7"/>
      <c r="AC869" s="7"/>
      <c r="AD869" s="7"/>
      <c r="AE869" s="7"/>
      <c r="AF869" s="7"/>
      <c r="AG869" s="7"/>
      <c r="AH869" s="7"/>
      <c r="AI869" s="7"/>
      <c r="AJ869" s="7"/>
      <c r="AK869" s="7"/>
      <c r="AL869" s="7"/>
    </row>
    <row r="870" spans="5:38" ht="15" x14ac:dyDescent="0.25">
      <c r="E870">
        <v>31580</v>
      </c>
      <c r="V870" s="7"/>
      <c r="W870" s="7"/>
      <c r="X870" s="7"/>
      <c r="Y870" s="7"/>
      <c r="Z870" s="7"/>
      <c r="AA870" s="7"/>
      <c r="AB870" s="7"/>
      <c r="AC870" s="7"/>
      <c r="AD870" s="7"/>
      <c r="AE870" s="7"/>
      <c r="AF870" s="7"/>
      <c r="AG870" s="7"/>
      <c r="AH870" s="7"/>
      <c r="AI870" s="7"/>
      <c r="AJ870" s="7"/>
      <c r="AK870" s="7"/>
      <c r="AL870" s="7"/>
    </row>
    <row r="871" spans="5:38" ht="15" x14ac:dyDescent="0.25">
      <c r="E871">
        <v>31591</v>
      </c>
      <c r="V871" s="7"/>
      <c r="W871" s="7"/>
      <c r="X871" s="7"/>
      <c r="Y871" s="7"/>
      <c r="Z871" s="7"/>
      <c r="AA871" s="7"/>
      <c r="AB871" s="7"/>
      <c r="AC871" s="7"/>
      <c r="AD871" s="7"/>
      <c r="AE871" s="7"/>
      <c r="AF871" s="7"/>
      <c r="AG871" s="7"/>
      <c r="AH871" s="7"/>
      <c r="AI871" s="7"/>
      <c r="AJ871" s="7"/>
      <c r="AK871" s="7"/>
      <c r="AL871" s="7"/>
    </row>
    <row r="872" spans="5:38" ht="15" x14ac:dyDescent="0.25">
      <c r="E872">
        <v>31590</v>
      </c>
      <c r="V872" s="7"/>
      <c r="W872" s="7"/>
      <c r="X872" s="7"/>
      <c r="Y872" s="7"/>
      <c r="Z872" s="7"/>
      <c r="AA872" s="7"/>
      <c r="AB872" s="7"/>
      <c r="AC872" s="7"/>
      <c r="AD872" s="7"/>
      <c r="AE872" s="7"/>
      <c r="AF872" s="7"/>
      <c r="AG872" s="7"/>
      <c r="AH872" s="7"/>
      <c r="AI872" s="7"/>
      <c r="AJ872" s="7"/>
      <c r="AK872" s="7"/>
      <c r="AL872" s="7"/>
    </row>
    <row r="873" spans="5:38" ht="15" x14ac:dyDescent="0.25">
      <c r="E873">
        <v>31543</v>
      </c>
      <c r="V873" s="7"/>
      <c r="W873" s="7"/>
      <c r="X873" s="7"/>
      <c r="Y873" s="7"/>
      <c r="Z873" s="7"/>
      <c r="AA873" s="7"/>
      <c r="AB873" s="7"/>
      <c r="AC873" s="7"/>
      <c r="AD873" s="7"/>
      <c r="AE873" s="7"/>
      <c r="AF873" s="7"/>
      <c r="AG873" s="7"/>
      <c r="AH873" s="7"/>
      <c r="AI873" s="7"/>
      <c r="AJ873" s="7"/>
      <c r="AK873" s="7"/>
      <c r="AL873" s="7"/>
    </row>
    <row r="874" spans="5:38" ht="15" x14ac:dyDescent="0.25">
      <c r="E874">
        <v>31778</v>
      </c>
      <c r="V874" s="7"/>
      <c r="W874" s="7"/>
      <c r="X874" s="7"/>
      <c r="Y874" s="7"/>
      <c r="Z874" s="7"/>
      <c r="AA874" s="7"/>
      <c r="AB874" s="7"/>
      <c r="AC874" s="7"/>
      <c r="AD874" s="7"/>
      <c r="AE874" s="7"/>
      <c r="AF874" s="7"/>
      <c r="AG874" s="7"/>
      <c r="AH874" s="7"/>
      <c r="AI874" s="7"/>
      <c r="AJ874" s="7"/>
      <c r="AK874" s="7"/>
      <c r="AL874" s="7"/>
    </row>
    <row r="875" spans="5:38" ht="15" x14ac:dyDescent="0.25">
      <c r="E875">
        <v>31662</v>
      </c>
      <c r="V875" s="7"/>
      <c r="W875" s="7"/>
      <c r="X875" s="7"/>
      <c r="Y875" s="7"/>
      <c r="Z875" s="7"/>
      <c r="AA875" s="7"/>
      <c r="AB875" s="7"/>
      <c r="AC875" s="7"/>
      <c r="AD875" s="7"/>
      <c r="AE875" s="7"/>
      <c r="AF875" s="7"/>
      <c r="AG875" s="7"/>
      <c r="AH875" s="7"/>
      <c r="AI875" s="7"/>
      <c r="AJ875" s="7"/>
      <c r="AK875" s="7"/>
      <c r="AL875" s="7"/>
    </row>
    <row r="876" spans="5:38" ht="15" x14ac:dyDescent="0.25">
      <c r="E876">
        <v>31801</v>
      </c>
      <c r="V876" s="7"/>
      <c r="W876" s="7"/>
      <c r="X876" s="7"/>
      <c r="Y876" s="7"/>
      <c r="Z876" s="7"/>
      <c r="AA876" s="7"/>
      <c r="AB876" s="7"/>
      <c r="AC876" s="7"/>
      <c r="AD876" s="7"/>
      <c r="AE876" s="7"/>
      <c r="AF876" s="7"/>
      <c r="AG876" s="7"/>
      <c r="AH876" s="7"/>
      <c r="AI876" s="7"/>
      <c r="AJ876" s="7"/>
      <c r="AK876" s="7"/>
      <c r="AL876" s="7"/>
    </row>
    <row r="877" spans="5:38" ht="15" x14ac:dyDescent="0.25">
      <c r="E877">
        <v>31779</v>
      </c>
      <c r="V877" s="7"/>
      <c r="W877" s="7"/>
      <c r="X877" s="7"/>
      <c r="Y877" s="7"/>
      <c r="Z877" s="7"/>
      <c r="AA877" s="7"/>
      <c r="AB877" s="7"/>
      <c r="AC877" s="7"/>
      <c r="AD877" s="7"/>
      <c r="AE877" s="7"/>
      <c r="AF877" s="7"/>
      <c r="AG877" s="7"/>
      <c r="AH877" s="7"/>
      <c r="AI877" s="7"/>
      <c r="AJ877" s="7"/>
      <c r="AK877" s="7"/>
      <c r="AL877" s="7"/>
    </row>
    <row r="878" spans="5:38" ht="15" x14ac:dyDescent="0.25">
      <c r="E878">
        <v>31795</v>
      </c>
      <c r="V878" s="7"/>
      <c r="W878" s="7"/>
      <c r="X878" s="7"/>
      <c r="Y878" s="7"/>
      <c r="Z878" s="7"/>
      <c r="AA878" s="7"/>
      <c r="AB878" s="7"/>
      <c r="AC878" s="7"/>
      <c r="AD878" s="7"/>
      <c r="AE878" s="7"/>
      <c r="AF878" s="7"/>
      <c r="AG878" s="7"/>
      <c r="AH878" s="7"/>
      <c r="AI878" s="7"/>
      <c r="AJ878" s="7"/>
      <c r="AK878" s="7"/>
      <c r="AL878" s="7"/>
    </row>
    <row r="879" spans="5:38" ht="15" x14ac:dyDescent="0.25">
      <c r="E879">
        <v>31780</v>
      </c>
      <c r="V879" s="7"/>
      <c r="W879" s="7"/>
      <c r="X879" s="7"/>
      <c r="Y879" s="7"/>
      <c r="Z879" s="7"/>
      <c r="AA879" s="7"/>
      <c r="AB879" s="7"/>
      <c r="AC879" s="7"/>
      <c r="AD879" s="7"/>
      <c r="AE879" s="7"/>
      <c r="AF879" s="7"/>
      <c r="AG879" s="7"/>
      <c r="AH879" s="7"/>
      <c r="AI879" s="7"/>
      <c r="AJ879" s="7"/>
      <c r="AK879" s="7"/>
      <c r="AL879" s="7"/>
    </row>
    <row r="880" spans="5:38" ht="15" x14ac:dyDescent="0.25">
      <c r="E880">
        <v>31587</v>
      </c>
      <c r="V880" s="7"/>
      <c r="W880" s="7"/>
      <c r="X880" s="7"/>
      <c r="Y880" s="7"/>
      <c r="Z880" s="7"/>
      <c r="AA880" s="7"/>
      <c r="AB880" s="7"/>
      <c r="AC880" s="7"/>
      <c r="AD880" s="7"/>
      <c r="AE880" s="7"/>
      <c r="AF880" s="7"/>
      <c r="AG880" s="7"/>
      <c r="AH880" s="7"/>
      <c r="AI880" s="7"/>
      <c r="AJ880" s="7"/>
      <c r="AK880" s="7"/>
      <c r="AL880" s="7"/>
    </row>
    <row r="881" spans="5:38" ht="15" x14ac:dyDescent="0.25">
      <c r="E881">
        <v>31781</v>
      </c>
      <c r="V881" s="7"/>
      <c r="W881" s="7"/>
      <c r="X881" s="7"/>
      <c r="Y881" s="7"/>
      <c r="Z881" s="7"/>
      <c r="AA881" s="7"/>
      <c r="AB881" s="7"/>
      <c r="AC881" s="7"/>
      <c r="AD881" s="7"/>
      <c r="AE881" s="7"/>
      <c r="AF881" s="7"/>
      <c r="AG881" s="7"/>
      <c r="AH881" s="7"/>
      <c r="AI881" s="7"/>
      <c r="AJ881" s="7"/>
      <c r="AK881" s="7"/>
      <c r="AL881" s="7"/>
    </row>
    <row r="882" spans="5:38" ht="15" x14ac:dyDescent="0.25">
      <c r="E882">
        <v>31782</v>
      </c>
      <c r="V882" s="7"/>
      <c r="W882" s="7"/>
      <c r="X882" s="7"/>
      <c r="Y882" s="7"/>
      <c r="Z882" s="7"/>
      <c r="AA882" s="7"/>
      <c r="AB882" s="7"/>
      <c r="AC882" s="7"/>
      <c r="AD882" s="7"/>
      <c r="AE882" s="7"/>
      <c r="AF882" s="7"/>
      <c r="AG882" s="7"/>
      <c r="AH882" s="7"/>
      <c r="AI882" s="7"/>
      <c r="AJ882" s="7"/>
      <c r="AK882" s="7"/>
      <c r="AL882" s="7"/>
    </row>
    <row r="883" spans="5:38" ht="15" x14ac:dyDescent="0.25">
      <c r="E883">
        <v>31783</v>
      </c>
      <c r="V883" s="7"/>
      <c r="W883" s="7"/>
      <c r="X883" s="7"/>
      <c r="Y883" s="7"/>
      <c r="Z883" s="7"/>
      <c r="AA883" s="7"/>
      <c r="AB883" s="7"/>
      <c r="AC883" s="7"/>
      <c r="AD883" s="7"/>
      <c r="AE883" s="7"/>
      <c r="AF883" s="7"/>
      <c r="AG883" s="7"/>
      <c r="AH883" s="7"/>
      <c r="AI883" s="7"/>
      <c r="AJ883" s="7"/>
      <c r="AK883" s="7"/>
      <c r="AL883" s="7"/>
    </row>
    <row r="884" spans="5:38" ht="15" x14ac:dyDescent="0.25">
      <c r="E884">
        <v>31784</v>
      </c>
      <c r="V884" s="7"/>
      <c r="W884" s="7"/>
      <c r="X884" s="7"/>
      <c r="Y884" s="7"/>
      <c r="Z884" s="7"/>
      <c r="AA884" s="7"/>
      <c r="AB884" s="7"/>
      <c r="AC884" s="7"/>
      <c r="AD884" s="7"/>
      <c r="AE884" s="7"/>
      <c r="AF884" s="7"/>
      <c r="AG884" s="7"/>
      <c r="AH884" s="7"/>
      <c r="AI884" s="7"/>
      <c r="AJ884" s="7"/>
      <c r="AK884" s="7"/>
      <c r="AL884" s="7"/>
    </row>
    <row r="885" spans="5:38" ht="15" x14ac:dyDescent="0.25">
      <c r="E885"/>
      <c r="V885" s="7"/>
      <c r="W885" s="7"/>
      <c r="X885" s="7"/>
      <c r="Y885" s="7"/>
      <c r="Z885" s="7"/>
      <c r="AA885" s="7"/>
      <c r="AB885" s="7"/>
      <c r="AC885" s="7"/>
      <c r="AD885" s="7"/>
      <c r="AE885" s="7"/>
      <c r="AF885" s="7"/>
      <c r="AG885" s="7"/>
      <c r="AH885" s="7"/>
      <c r="AI885" s="7"/>
      <c r="AJ885" s="7"/>
      <c r="AK885" s="7"/>
      <c r="AL885" s="7"/>
    </row>
    <row r="886" spans="5:38" ht="15" x14ac:dyDescent="0.25">
      <c r="E886"/>
      <c r="V886" s="7"/>
      <c r="W886" s="7"/>
      <c r="X886" s="7"/>
      <c r="Y886" s="7"/>
      <c r="Z886" s="7"/>
      <c r="AA886" s="7"/>
      <c r="AB886" s="7"/>
      <c r="AC886" s="7"/>
      <c r="AD886" s="7"/>
      <c r="AE886" s="7"/>
      <c r="AF886" s="7"/>
      <c r="AG886" s="7"/>
      <c r="AH886" s="7"/>
      <c r="AI886" s="7"/>
      <c r="AJ886" s="7"/>
      <c r="AK886" s="7"/>
      <c r="AL886" s="7"/>
    </row>
    <row r="887" spans="5:38" ht="15" x14ac:dyDescent="0.25">
      <c r="E887"/>
      <c r="V887" s="7"/>
      <c r="W887" s="7"/>
      <c r="X887" s="7"/>
      <c r="Y887" s="7"/>
      <c r="Z887" s="7"/>
      <c r="AA887" s="7"/>
      <c r="AB887" s="7"/>
      <c r="AC887" s="7"/>
      <c r="AD887" s="7"/>
      <c r="AE887" s="7"/>
      <c r="AF887" s="7"/>
      <c r="AG887" s="7"/>
      <c r="AH887" s="7"/>
      <c r="AI887" s="7"/>
      <c r="AJ887" s="7"/>
      <c r="AK887" s="7"/>
      <c r="AL887" s="7"/>
    </row>
    <row r="888" spans="5:38" ht="15" x14ac:dyDescent="0.25">
      <c r="E888"/>
      <c r="V888" s="7"/>
      <c r="W888" s="7"/>
      <c r="X888" s="7"/>
      <c r="Y888" s="7"/>
      <c r="Z888" s="7"/>
      <c r="AA888" s="7"/>
      <c r="AB888" s="7"/>
      <c r="AC888" s="7"/>
      <c r="AD888" s="7"/>
      <c r="AE888" s="7"/>
      <c r="AF888" s="7"/>
      <c r="AG888" s="7"/>
      <c r="AH888" s="7"/>
      <c r="AI888" s="7"/>
      <c r="AJ888" s="7"/>
      <c r="AK888" s="7"/>
      <c r="AL888" s="7"/>
    </row>
    <row r="889" spans="5:38" ht="15" x14ac:dyDescent="0.25">
      <c r="E889"/>
      <c r="V889" s="7"/>
      <c r="W889" s="7"/>
      <c r="X889" s="7"/>
      <c r="Y889" s="7"/>
      <c r="Z889" s="7"/>
      <c r="AA889" s="7"/>
      <c r="AB889" s="7"/>
      <c r="AC889" s="7"/>
      <c r="AD889" s="7"/>
      <c r="AE889" s="7"/>
      <c r="AF889" s="7"/>
      <c r="AG889" s="7"/>
      <c r="AH889" s="7"/>
      <c r="AI889" s="7"/>
      <c r="AJ889" s="7"/>
      <c r="AK889" s="7"/>
      <c r="AL889" s="7"/>
    </row>
    <row r="890" spans="5:38" ht="15" x14ac:dyDescent="0.25">
      <c r="E890"/>
      <c r="V890" s="7"/>
      <c r="W890" s="7"/>
      <c r="X890" s="7"/>
      <c r="Y890" s="7"/>
      <c r="Z890" s="7"/>
      <c r="AA890" s="7"/>
      <c r="AB890" s="7"/>
      <c r="AC890" s="7"/>
      <c r="AD890" s="7"/>
      <c r="AE890" s="7"/>
      <c r="AF890" s="7"/>
      <c r="AG890" s="7"/>
      <c r="AH890" s="7"/>
      <c r="AI890" s="7"/>
      <c r="AJ890" s="7"/>
      <c r="AK890" s="7"/>
      <c r="AL890" s="7"/>
    </row>
    <row r="891" spans="5:38" ht="15" x14ac:dyDescent="0.25">
      <c r="E891"/>
      <c r="V891" s="7"/>
      <c r="W891" s="7"/>
      <c r="X891" s="7"/>
      <c r="Y891" s="7"/>
      <c r="Z891" s="7"/>
      <c r="AA891" s="7"/>
      <c r="AB891" s="7"/>
      <c r="AC891" s="7"/>
      <c r="AD891" s="7"/>
      <c r="AE891" s="7"/>
      <c r="AF891" s="7"/>
      <c r="AG891" s="7"/>
      <c r="AH891" s="7"/>
      <c r="AI891" s="7"/>
      <c r="AJ891" s="7"/>
      <c r="AK891" s="7"/>
      <c r="AL891" s="7"/>
    </row>
    <row r="892" spans="5:38" ht="15" x14ac:dyDescent="0.25">
      <c r="E892"/>
      <c r="V892" s="7"/>
      <c r="W892" s="7"/>
      <c r="X892" s="7"/>
      <c r="Y892" s="7"/>
      <c r="Z892" s="7"/>
      <c r="AA892" s="7"/>
      <c r="AB892" s="7"/>
      <c r="AC892" s="7"/>
      <c r="AD892" s="7"/>
      <c r="AE892" s="7"/>
      <c r="AF892" s="7"/>
      <c r="AG892" s="7"/>
      <c r="AH892" s="7"/>
      <c r="AI892" s="7"/>
      <c r="AJ892" s="7"/>
      <c r="AK892" s="7"/>
      <c r="AL892" s="7"/>
    </row>
    <row r="893" spans="5:38" x14ac:dyDescent="0.25">
      <c r="V893" s="7"/>
      <c r="W893" s="7"/>
      <c r="X893" s="7"/>
      <c r="Y893" s="7"/>
      <c r="Z893" s="7"/>
      <c r="AA893" s="7"/>
      <c r="AB893" s="7"/>
      <c r="AC893" s="7"/>
      <c r="AD893" s="7"/>
      <c r="AE893" s="7"/>
      <c r="AF893" s="7"/>
      <c r="AG893" s="7"/>
      <c r="AH893" s="7"/>
      <c r="AI893" s="7"/>
      <c r="AJ893" s="7"/>
      <c r="AK893" s="7"/>
      <c r="AL893" s="7"/>
    </row>
    <row r="894" spans="5:38" x14ac:dyDescent="0.25">
      <c r="V894" s="7"/>
      <c r="W894" s="7"/>
      <c r="X894" s="7"/>
      <c r="Y894" s="7"/>
      <c r="Z894" s="7"/>
      <c r="AA894" s="7"/>
      <c r="AB894" s="7"/>
      <c r="AC894" s="7"/>
      <c r="AD894" s="7"/>
      <c r="AE894" s="7"/>
      <c r="AF894" s="7"/>
      <c r="AG894" s="7"/>
      <c r="AH894" s="7"/>
      <c r="AI894" s="7"/>
      <c r="AJ894" s="7"/>
      <c r="AK894" s="7"/>
      <c r="AL894" s="7"/>
    </row>
    <row r="895" spans="5:38" x14ac:dyDescent="0.25">
      <c r="V895" s="7"/>
      <c r="W895" s="7"/>
      <c r="X895" s="7"/>
      <c r="Y895" s="7"/>
      <c r="Z895" s="7"/>
      <c r="AA895" s="7"/>
      <c r="AB895" s="7"/>
      <c r="AC895" s="7"/>
      <c r="AD895" s="7"/>
      <c r="AE895" s="7"/>
      <c r="AF895" s="7"/>
      <c r="AG895" s="7"/>
      <c r="AH895" s="7"/>
      <c r="AI895" s="7"/>
      <c r="AJ895" s="7"/>
      <c r="AK895" s="7"/>
      <c r="AL895" s="7"/>
    </row>
    <row r="896" spans="5:38" x14ac:dyDescent="0.25">
      <c r="V896" s="7"/>
      <c r="W896" s="7"/>
      <c r="X896" s="7"/>
      <c r="Y896" s="7"/>
      <c r="Z896" s="7"/>
      <c r="AA896" s="7"/>
      <c r="AB896" s="7"/>
      <c r="AC896" s="7"/>
      <c r="AD896" s="7"/>
      <c r="AE896" s="7"/>
      <c r="AF896" s="7"/>
      <c r="AG896" s="7"/>
      <c r="AH896" s="7"/>
      <c r="AI896" s="7"/>
      <c r="AJ896" s="7"/>
      <c r="AK896" s="7"/>
      <c r="AL896" s="7"/>
    </row>
    <row r="897" spans="22:38" x14ac:dyDescent="0.25">
      <c r="V897" s="7"/>
      <c r="W897" s="7"/>
      <c r="X897" s="7"/>
      <c r="Y897" s="7"/>
      <c r="Z897" s="7"/>
      <c r="AA897" s="7"/>
      <c r="AB897" s="7"/>
      <c r="AC897" s="7"/>
      <c r="AD897" s="7"/>
      <c r="AE897" s="7"/>
      <c r="AF897" s="7"/>
      <c r="AG897" s="7"/>
      <c r="AH897" s="7"/>
      <c r="AI897" s="7"/>
      <c r="AJ897" s="7"/>
      <c r="AK897" s="7"/>
      <c r="AL897" s="7"/>
    </row>
    <row r="898" spans="22:38" x14ac:dyDescent="0.25">
      <c r="V898" s="7"/>
      <c r="W898" s="7"/>
      <c r="X898" s="7"/>
      <c r="Y898" s="7"/>
      <c r="Z898" s="7"/>
      <c r="AA898" s="7"/>
      <c r="AB898" s="7"/>
      <c r="AC898" s="7"/>
      <c r="AD898" s="7"/>
      <c r="AE898" s="7"/>
      <c r="AF898" s="7"/>
      <c r="AG898" s="7"/>
      <c r="AH898" s="7"/>
      <c r="AI898" s="7"/>
      <c r="AJ898" s="7"/>
      <c r="AK898" s="7"/>
      <c r="AL898" s="7"/>
    </row>
    <row r="899" spans="22:38" x14ac:dyDescent="0.25">
      <c r="V899" s="7"/>
      <c r="W899" s="7"/>
      <c r="X899" s="7"/>
      <c r="Y899" s="7"/>
      <c r="Z899" s="7"/>
      <c r="AA899" s="7"/>
      <c r="AB899" s="7"/>
      <c r="AC899" s="7"/>
      <c r="AD899" s="7"/>
      <c r="AE899" s="7"/>
      <c r="AF899" s="7"/>
      <c r="AG899" s="7"/>
      <c r="AH899" s="7"/>
      <c r="AI899" s="7"/>
      <c r="AJ899" s="7"/>
      <c r="AK899" s="7"/>
      <c r="AL899" s="7"/>
    </row>
  </sheetData>
  <autoFilter ref="D1:D498" xr:uid="{00000000-0001-0000-0000-000000000000}"/>
  <mergeCells count="37">
    <mergeCell ref="AN1:AN3"/>
    <mergeCell ref="AO1:AO3"/>
    <mergeCell ref="AP1:AP3"/>
    <mergeCell ref="AH1:AH3"/>
    <mergeCell ref="AI1:AI3"/>
    <mergeCell ref="AJ1:AJ3"/>
    <mergeCell ref="AK1:AK3"/>
    <mergeCell ref="AL1:AL3"/>
    <mergeCell ref="AM1:AM3"/>
    <mergeCell ref="AG1:AG3"/>
    <mergeCell ref="V1:V3"/>
    <mergeCell ref="W1:W3"/>
    <mergeCell ref="X1:X3"/>
    <mergeCell ref="Y1:Y3"/>
    <mergeCell ref="Z1:Z3"/>
    <mergeCell ref="AA1:AA3"/>
    <mergeCell ref="AB1:AB3"/>
    <mergeCell ref="AC1:AC3"/>
    <mergeCell ref="AD1:AD3"/>
    <mergeCell ref="AE1:AE3"/>
    <mergeCell ref="AF1:AF3"/>
    <mergeCell ref="G452:H452"/>
    <mergeCell ref="R1:U2"/>
    <mergeCell ref="A1:A3"/>
    <mergeCell ref="B1:B3"/>
    <mergeCell ref="C1:E2"/>
    <mergeCell ref="F1:H1"/>
    <mergeCell ref="F2:G2"/>
    <mergeCell ref="H2:H3"/>
    <mergeCell ref="I1:I3"/>
    <mergeCell ref="J1:J3"/>
    <mergeCell ref="K1:L2"/>
    <mergeCell ref="M1:M3"/>
    <mergeCell ref="N1:N3"/>
    <mergeCell ref="O1:O3"/>
    <mergeCell ref="P1:P3"/>
    <mergeCell ref="Q1:Q3"/>
  </mergeCells>
  <phoneticPr fontId="9" type="noConversion"/>
  <conditionalFormatting sqref="E1:E1048576">
    <cfRule type="duplicateValues" dxfId="15" priority="1"/>
    <cfRule type="duplicateValues" dxfId="14" priority="2"/>
  </conditionalFormatting>
  <pageMargins left="0.7" right="0.7" top="0.75" bottom="0.75" header="0.3" footer="0.3"/>
  <pageSetup scale="56" orientation="portrait" r:id="rId1"/>
  <colBreaks count="1" manualBreakCount="1">
    <brk id="16" max="1048575"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18"/>
  <sheetViews>
    <sheetView topLeftCell="A8" zoomScaleNormal="100" workbookViewId="0">
      <selection activeCell="A14" sqref="A14:XFD14"/>
    </sheetView>
  </sheetViews>
  <sheetFormatPr baseColWidth="10" defaultColWidth="11.42578125" defaultRowHeight="12" x14ac:dyDescent="0.2"/>
  <cols>
    <col min="1" max="1" width="16.140625" style="55" customWidth="1"/>
    <col min="2" max="2" width="13.7109375" style="55" customWidth="1"/>
    <col min="3" max="3" width="3.85546875" style="56" customWidth="1"/>
    <col min="4" max="4" width="7.42578125" style="56" customWidth="1"/>
    <col min="5" max="5" width="3.7109375" style="56" hidden="1" customWidth="1"/>
    <col min="6" max="6" width="10.5703125" style="56" customWidth="1"/>
    <col min="7" max="7" width="3.140625" style="56" customWidth="1"/>
    <col min="8" max="8" width="15.140625" style="56" customWidth="1"/>
    <col min="9" max="9" width="39.85546875" style="56" customWidth="1"/>
    <col min="10" max="13" width="12.28515625" style="28" hidden="1" customWidth="1"/>
    <col min="14" max="15" width="12.28515625" style="28" customWidth="1"/>
    <col min="16" max="16" width="11.85546875" style="28" customWidth="1"/>
    <col min="17" max="18" width="13.7109375" style="28" hidden="1" customWidth="1"/>
    <col min="19" max="19" width="11.85546875" style="28" customWidth="1"/>
    <col min="20" max="20" width="15.7109375" style="56" hidden="1" customWidth="1"/>
    <col min="21" max="21" width="11" style="56" hidden="1" customWidth="1"/>
    <col min="22" max="22" width="11" style="55" hidden="1" customWidth="1"/>
    <col min="23" max="23" width="12.28515625" style="58" customWidth="1"/>
    <col min="24" max="24" width="10.5703125" style="55" customWidth="1"/>
    <col min="25" max="25" width="4.140625" style="56" customWidth="1"/>
    <col min="26" max="26" width="7.28515625" style="56" customWidth="1"/>
    <col min="27" max="27" width="5" style="56" customWidth="1"/>
    <col min="28" max="28" width="4" style="56" customWidth="1"/>
    <col min="29" max="29" width="8.5703125" style="57" customWidth="1"/>
    <col min="30" max="30" width="13.7109375" style="55" customWidth="1"/>
    <col min="31" max="31" width="4.85546875" style="56" customWidth="1"/>
    <col min="32" max="33" width="12.7109375" style="56" customWidth="1"/>
    <col min="34" max="34" width="8.140625" style="56" customWidth="1"/>
    <col min="35" max="35" width="12.7109375" style="56" customWidth="1"/>
    <col min="36" max="36" width="6.7109375" style="56" customWidth="1"/>
    <col min="37" max="37" width="13.7109375" style="59" customWidth="1"/>
    <col min="38" max="39" width="15.7109375" style="57" customWidth="1"/>
    <col min="40" max="40" width="10.7109375" style="56" customWidth="1"/>
    <col min="41" max="41" width="15.7109375" style="56" customWidth="1"/>
    <col min="42" max="42" width="10.7109375" style="55" customWidth="1"/>
    <col min="43" max="43" width="11.7109375" style="56" customWidth="1"/>
    <col min="44" max="44" width="9.28515625" style="57" customWidth="1"/>
    <col min="45" max="45" width="48.85546875" style="56" customWidth="1"/>
    <col min="46" max="46" width="9.7109375" style="56" customWidth="1"/>
    <col min="47" max="47" width="15.7109375" style="57" customWidth="1"/>
    <col min="48" max="16384" width="11.42578125" style="60"/>
  </cols>
  <sheetData>
    <row r="1" spans="1:47" hidden="1" x14ac:dyDescent="0.2">
      <c r="A1" s="55" t="s">
        <v>0</v>
      </c>
    </row>
    <row r="2" spans="1:47" hidden="1" x14ac:dyDescent="0.2">
      <c r="A2" s="55" t="s">
        <v>1</v>
      </c>
    </row>
    <row r="3" spans="1:47" hidden="1" x14ac:dyDescent="0.2">
      <c r="A3" s="55" t="s">
        <v>2</v>
      </c>
    </row>
    <row r="4" spans="1:47" hidden="1" x14ac:dyDescent="0.2">
      <c r="A4" s="55" t="s">
        <v>3</v>
      </c>
    </row>
    <row r="5" spans="1:47" hidden="1" x14ac:dyDescent="0.2">
      <c r="A5" s="55" t="s">
        <v>4</v>
      </c>
    </row>
    <row r="6" spans="1:47" hidden="1" x14ac:dyDescent="0.2"/>
    <row r="7" spans="1:47" hidden="1" x14ac:dyDescent="0.2"/>
    <row r="8" spans="1:47" x14ac:dyDescent="0.2">
      <c r="A8" s="141" t="s">
        <v>63</v>
      </c>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row>
    <row r="10" spans="1:47" ht="21.95" customHeight="1" x14ac:dyDescent="0.2">
      <c r="A10" s="142" t="s">
        <v>5</v>
      </c>
      <c r="B10" s="142" t="s">
        <v>7</v>
      </c>
      <c r="C10" s="143" t="s">
        <v>8</v>
      </c>
      <c r="D10" s="143"/>
      <c r="E10" s="143"/>
      <c r="F10" s="143" t="s">
        <v>64</v>
      </c>
      <c r="G10" s="144" t="s">
        <v>65</v>
      </c>
      <c r="H10" s="144"/>
      <c r="I10" s="144"/>
      <c r="J10" s="145" t="s">
        <v>66</v>
      </c>
      <c r="K10" s="145"/>
      <c r="L10" s="145" t="s">
        <v>67</v>
      </c>
      <c r="M10" s="145"/>
      <c r="N10" s="145" t="s">
        <v>68</v>
      </c>
      <c r="O10" s="145"/>
      <c r="P10" s="145" t="s">
        <v>69</v>
      </c>
      <c r="Q10" s="145" t="s">
        <v>27</v>
      </c>
      <c r="R10" s="145" t="s">
        <v>70</v>
      </c>
      <c r="S10" s="145" t="s">
        <v>71</v>
      </c>
      <c r="T10" s="143" t="s">
        <v>72</v>
      </c>
      <c r="U10" s="144" t="s">
        <v>73</v>
      </c>
      <c r="V10" s="144"/>
      <c r="W10" s="147" t="s">
        <v>31</v>
      </c>
      <c r="X10" s="144" t="s">
        <v>33</v>
      </c>
      <c r="Y10" s="144"/>
      <c r="Z10" s="144"/>
      <c r="AA10" s="144"/>
      <c r="AB10" s="143" t="s">
        <v>37</v>
      </c>
      <c r="AC10" s="148" t="s">
        <v>38</v>
      </c>
      <c r="AD10" s="142" t="s">
        <v>39</v>
      </c>
      <c r="AE10" s="143" t="s">
        <v>40</v>
      </c>
      <c r="AF10" s="143" t="s">
        <v>45</v>
      </c>
      <c r="AG10" s="143" t="s">
        <v>47</v>
      </c>
      <c r="AH10" s="143" t="s">
        <v>48</v>
      </c>
      <c r="AI10" s="143" t="s">
        <v>42</v>
      </c>
      <c r="AJ10" s="143" t="s">
        <v>44</v>
      </c>
      <c r="AK10" s="146" t="s">
        <v>49</v>
      </c>
      <c r="AL10" s="148" t="s">
        <v>51</v>
      </c>
      <c r="AM10" s="148" t="s">
        <v>53</v>
      </c>
      <c r="AN10" s="143" t="s">
        <v>54</v>
      </c>
      <c r="AO10" s="143" t="s">
        <v>55</v>
      </c>
      <c r="AP10" s="142" t="s">
        <v>56</v>
      </c>
      <c r="AQ10" s="143" t="s">
        <v>57</v>
      </c>
      <c r="AR10" s="148" t="s">
        <v>58</v>
      </c>
      <c r="AS10" s="143" t="s">
        <v>59</v>
      </c>
      <c r="AT10" s="143" t="s">
        <v>61</v>
      </c>
      <c r="AU10" s="148" t="s">
        <v>74</v>
      </c>
    </row>
    <row r="11" spans="1:47" ht="21.95" customHeight="1" x14ac:dyDescent="0.2">
      <c r="A11" s="142"/>
      <c r="B11" s="142"/>
      <c r="C11" s="143"/>
      <c r="D11" s="143"/>
      <c r="E11" s="143"/>
      <c r="F11" s="143"/>
      <c r="G11" s="144" t="s">
        <v>16</v>
      </c>
      <c r="H11" s="144"/>
      <c r="I11" s="143" t="s">
        <v>19</v>
      </c>
      <c r="J11" s="145"/>
      <c r="K11" s="145"/>
      <c r="L11" s="145"/>
      <c r="M11" s="145"/>
      <c r="N11" s="145"/>
      <c r="O11" s="145"/>
      <c r="P11" s="145"/>
      <c r="Q11" s="145"/>
      <c r="R11" s="145"/>
      <c r="S11" s="145"/>
      <c r="T11" s="143"/>
      <c r="U11" s="144"/>
      <c r="V11" s="144"/>
      <c r="W11" s="147"/>
      <c r="X11" s="144"/>
      <c r="Y11" s="144"/>
      <c r="Z11" s="144"/>
      <c r="AA11" s="144"/>
      <c r="AB11" s="143"/>
      <c r="AC11" s="148"/>
      <c r="AD11" s="142"/>
      <c r="AE11" s="143"/>
      <c r="AF11" s="143"/>
      <c r="AG11" s="143"/>
      <c r="AH11" s="143"/>
      <c r="AI11" s="143"/>
      <c r="AJ11" s="143"/>
      <c r="AK11" s="146"/>
      <c r="AL11" s="148"/>
      <c r="AM11" s="148"/>
      <c r="AN11" s="143"/>
      <c r="AO11" s="143"/>
      <c r="AP11" s="142"/>
      <c r="AQ11" s="143"/>
      <c r="AR11" s="148"/>
      <c r="AS11" s="143"/>
      <c r="AT11" s="143"/>
      <c r="AU11" s="148"/>
    </row>
    <row r="12" spans="1:47" ht="108" x14ac:dyDescent="0.2">
      <c r="A12" s="142"/>
      <c r="B12" s="142"/>
      <c r="C12" s="66" t="s">
        <v>9</v>
      </c>
      <c r="D12" s="66" t="s">
        <v>75</v>
      </c>
      <c r="E12" s="66" t="s">
        <v>76</v>
      </c>
      <c r="F12" s="143"/>
      <c r="G12" s="66" t="s">
        <v>9</v>
      </c>
      <c r="H12" s="66" t="s">
        <v>13</v>
      </c>
      <c r="I12" s="143"/>
      <c r="J12" s="39" t="s">
        <v>77</v>
      </c>
      <c r="K12" s="39" t="s">
        <v>78</v>
      </c>
      <c r="L12" s="39" t="s">
        <v>77</v>
      </c>
      <c r="M12" s="39" t="s">
        <v>78</v>
      </c>
      <c r="N12" s="39" t="s">
        <v>77</v>
      </c>
      <c r="O12" s="39" t="s">
        <v>78</v>
      </c>
      <c r="P12" s="145"/>
      <c r="Q12" s="145"/>
      <c r="R12" s="145"/>
      <c r="S12" s="145"/>
      <c r="T12" s="143"/>
      <c r="U12" s="66" t="s">
        <v>13</v>
      </c>
      <c r="V12" s="67" t="s">
        <v>79</v>
      </c>
      <c r="W12" s="147"/>
      <c r="X12" s="67" t="s">
        <v>34</v>
      </c>
      <c r="Y12" s="66" t="s">
        <v>9</v>
      </c>
      <c r="Z12" s="66" t="s">
        <v>35</v>
      </c>
      <c r="AA12" s="66" t="s">
        <v>36</v>
      </c>
      <c r="AB12" s="143"/>
      <c r="AC12" s="148"/>
      <c r="AD12" s="142"/>
      <c r="AE12" s="143"/>
      <c r="AF12" s="143"/>
      <c r="AG12" s="143"/>
      <c r="AH12" s="143"/>
      <c r="AI12" s="143"/>
      <c r="AJ12" s="143"/>
      <c r="AK12" s="146"/>
      <c r="AL12" s="148"/>
      <c r="AM12" s="148"/>
      <c r="AN12" s="143"/>
      <c r="AO12" s="143"/>
      <c r="AP12" s="142"/>
      <c r="AQ12" s="143"/>
      <c r="AR12" s="148"/>
      <c r="AS12" s="143"/>
      <c r="AT12" s="143"/>
      <c r="AU12" s="148"/>
    </row>
    <row r="13" spans="1:47" ht="60" customHeight="1" x14ac:dyDescent="0.2">
      <c r="A13" s="61" t="s">
        <v>6</v>
      </c>
      <c r="B13" s="61" t="s">
        <v>6</v>
      </c>
      <c r="C13" s="62" t="s">
        <v>10</v>
      </c>
      <c r="D13" s="62" t="s">
        <v>12</v>
      </c>
      <c r="E13" s="62" t="s">
        <v>80</v>
      </c>
      <c r="F13" s="62" t="s">
        <v>14</v>
      </c>
      <c r="G13" s="62" t="s">
        <v>17</v>
      </c>
      <c r="H13" s="62" t="s">
        <v>18</v>
      </c>
      <c r="I13" s="62" t="s">
        <v>20</v>
      </c>
      <c r="J13" s="27" t="s">
        <v>22</v>
      </c>
      <c r="K13" s="27" t="s">
        <v>22</v>
      </c>
      <c r="L13" s="27" t="s">
        <v>22</v>
      </c>
      <c r="M13" s="27" t="s">
        <v>22</v>
      </c>
      <c r="N13" s="27" t="s">
        <v>22</v>
      </c>
      <c r="O13" s="27" t="s">
        <v>22</v>
      </c>
      <c r="P13" s="27" t="s">
        <v>22</v>
      </c>
      <c r="Q13" s="27" t="s">
        <v>22</v>
      </c>
      <c r="R13" s="27" t="s">
        <v>22</v>
      </c>
      <c r="S13" s="27" t="s">
        <v>82</v>
      </c>
      <c r="T13" s="62" t="s">
        <v>81</v>
      </c>
      <c r="U13" s="62" t="s">
        <v>81</v>
      </c>
      <c r="V13" s="61" t="s">
        <v>6</v>
      </c>
      <c r="W13" s="64" t="s">
        <v>32</v>
      </c>
      <c r="X13" s="61" t="s">
        <v>6</v>
      </c>
      <c r="Y13" s="62" t="s">
        <v>10</v>
      </c>
      <c r="Z13" s="62" t="s">
        <v>12</v>
      </c>
      <c r="AA13" s="62" t="s">
        <v>14</v>
      </c>
      <c r="AB13" s="62" t="s">
        <v>17</v>
      </c>
      <c r="AC13" s="63" t="s">
        <v>22</v>
      </c>
      <c r="AD13" s="61" t="s">
        <v>6</v>
      </c>
      <c r="AE13" s="62" t="s">
        <v>41</v>
      </c>
      <c r="AF13" s="62" t="s">
        <v>46</v>
      </c>
      <c r="AG13" s="62" t="s">
        <v>46</v>
      </c>
      <c r="AH13" s="62" t="s">
        <v>46</v>
      </c>
      <c r="AI13" s="62" t="s">
        <v>43</v>
      </c>
      <c r="AJ13" s="62" t="s">
        <v>43</v>
      </c>
      <c r="AK13" s="65" t="s">
        <v>50</v>
      </c>
      <c r="AL13" s="63" t="s">
        <v>52</v>
      </c>
      <c r="AM13" s="63" t="s">
        <v>22</v>
      </c>
      <c r="AN13" s="62" t="s">
        <v>12</v>
      </c>
      <c r="AO13" s="62" t="s">
        <v>14</v>
      </c>
      <c r="AP13" s="61" t="s">
        <v>6</v>
      </c>
      <c r="AQ13" s="62" t="s">
        <v>46</v>
      </c>
      <c r="AR13" s="63" t="s">
        <v>52</v>
      </c>
      <c r="AS13" s="62" t="s">
        <v>20</v>
      </c>
      <c r="AT13" s="62" t="s">
        <v>17</v>
      </c>
      <c r="AU13" s="63" t="s">
        <v>22</v>
      </c>
    </row>
    <row r="14" spans="1:47" s="81" customFormat="1" ht="11.25" customHeight="1" x14ac:dyDescent="0.2">
      <c r="A14" s="68"/>
      <c r="B14" s="68"/>
      <c r="C14" s="69"/>
      <c r="D14" s="70"/>
      <c r="E14" s="71"/>
      <c r="F14" s="69"/>
      <c r="G14" s="71"/>
      <c r="H14" s="70"/>
      <c r="I14" s="72"/>
      <c r="J14" s="73"/>
      <c r="K14" s="73"/>
      <c r="L14" s="73"/>
      <c r="M14" s="73"/>
      <c r="N14" s="73"/>
      <c r="O14" s="73"/>
      <c r="P14" s="73"/>
      <c r="Q14" s="73"/>
      <c r="R14" s="73"/>
      <c r="S14" s="73"/>
      <c r="T14" s="69"/>
      <c r="U14" s="69"/>
      <c r="V14" s="68"/>
      <c r="W14" s="74"/>
      <c r="X14" s="68"/>
      <c r="Y14" s="69"/>
      <c r="Z14" s="69"/>
      <c r="AA14" s="69"/>
      <c r="AB14" s="69"/>
      <c r="AC14" s="73"/>
      <c r="AD14" s="68"/>
      <c r="AE14" s="69"/>
      <c r="AF14" s="69"/>
      <c r="AG14" s="69"/>
      <c r="AH14" s="69"/>
      <c r="AI14" s="73"/>
      <c r="AJ14" s="69"/>
      <c r="AK14" s="69"/>
      <c r="AL14" s="75"/>
      <c r="AM14" s="69"/>
      <c r="AN14" s="69"/>
      <c r="AO14" s="69"/>
      <c r="AP14" s="69"/>
      <c r="AQ14" s="76"/>
      <c r="AR14" s="77"/>
      <c r="AS14" s="78"/>
      <c r="AT14" s="79"/>
      <c r="AU14" s="80"/>
    </row>
    <row r="15" spans="1:47" s="92" customFormat="1" ht="11.25" customHeight="1" x14ac:dyDescent="0.2">
      <c r="A15" s="68"/>
      <c r="B15" s="68">
        <f t="shared" ref="B15:B16" si="0">+A15</f>
        <v>0</v>
      </c>
      <c r="C15" s="69" t="s">
        <v>83</v>
      </c>
      <c r="D15" s="70"/>
      <c r="E15" s="71"/>
      <c r="F15" s="69"/>
      <c r="G15" s="71">
        <v>6</v>
      </c>
      <c r="H15" s="70"/>
      <c r="I15" s="72"/>
      <c r="J15" s="73">
        <f t="shared" ref="J15:J16" si="1">+S15/1.18</f>
        <v>0</v>
      </c>
      <c r="K15" s="73">
        <f t="shared" ref="K15:K16" si="2">+J15*0.18</f>
        <v>0</v>
      </c>
      <c r="L15" s="73"/>
      <c r="M15" s="73"/>
      <c r="N15" s="73"/>
      <c r="O15" s="73"/>
      <c r="P15" s="73"/>
      <c r="Q15" s="73"/>
      <c r="R15" s="73"/>
      <c r="S15" s="73"/>
      <c r="T15" s="82"/>
      <c r="U15" s="82"/>
      <c r="V15" s="83"/>
      <c r="W15" s="84"/>
      <c r="X15" s="83"/>
      <c r="Y15" s="82"/>
      <c r="Z15" s="82"/>
      <c r="AA15" s="82"/>
      <c r="AB15" s="82"/>
      <c r="AC15" s="85"/>
      <c r="AD15" s="83"/>
      <c r="AE15" s="82"/>
      <c r="AF15" s="82"/>
      <c r="AG15" s="82"/>
      <c r="AH15" s="82"/>
      <c r="AI15" s="85"/>
      <c r="AJ15" s="82"/>
      <c r="AK15" s="82"/>
      <c r="AL15" s="86"/>
      <c r="AM15" s="82"/>
      <c r="AN15" s="82"/>
      <c r="AO15" s="82"/>
      <c r="AP15" s="82"/>
      <c r="AQ15" s="87"/>
      <c r="AR15" s="88"/>
      <c r="AS15" s="89"/>
      <c r="AT15" s="90"/>
      <c r="AU15" s="91"/>
    </row>
    <row r="16" spans="1:47" s="92" customFormat="1" ht="11.25" customHeight="1" x14ac:dyDescent="0.2">
      <c r="A16" s="68"/>
      <c r="B16" s="68">
        <f t="shared" si="0"/>
        <v>0</v>
      </c>
      <c r="C16" s="69" t="s">
        <v>83</v>
      </c>
      <c r="D16" s="70"/>
      <c r="E16" s="71"/>
      <c r="F16" s="69"/>
      <c r="G16" s="71">
        <v>6</v>
      </c>
      <c r="H16" s="70"/>
      <c r="I16" s="72"/>
      <c r="J16" s="73">
        <f t="shared" si="1"/>
        <v>0</v>
      </c>
      <c r="K16" s="73">
        <f t="shared" si="2"/>
        <v>0</v>
      </c>
      <c r="L16" s="73"/>
      <c r="M16" s="73"/>
      <c r="N16" s="73"/>
      <c r="O16" s="73"/>
      <c r="P16" s="73"/>
      <c r="Q16" s="73"/>
      <c r="R16" s="73"/>
      <c r="S16" s="73"/>
      <c r="T16" s="82"/>
      <c r="U16" s="82"/>
      <c r="V16" s="83"/>
      <c r="W16" s="84"/>
      <c r="X16" s="83"/>
      <c r="Y16" s="82"/>
      <c r="Z16" s="82"/>
      <c r="AA16" s="82"/>
      <c r="AB16" s="82"/>
      <c r="AC16" s="85"/>
      <c r="AD16" s="83"/>
      <c r="AE16" s="82"/>
      <c r="AF16" s="82"/>
      <c r="AG16" s="82"/>
      <c r="AH16" s="82"/>
      <c r="AI16" s="85"/>
      <c r="AJ16" s="82"/>
      <c r="AK16" s="82"/>
      <c r="AL16" s="86"/>
      <c r="AM16" s="82"/>
      <c r="AN16" s="82"/>
      <c r="AO16" s="82"/>
      <c r="AP16" s="82"/>
      <c r="AQ16" s="87"/>
      <c r="AR16" s="88"/>
      <c r="AS16" s="89"/>
      <c r="AT16" s="90"/>
      <c r="AU16" s="91"/>
    </row>
    <row r="17" spans="1:47" s="99" customFormat="1" x14ac:dyDescent="0.2">
      <c r="A17" s="149" t="s">
        <v>82</v>
      </c>
      <c r="B17" s="149"/>
      <c r="C17" s="149"/>
      <c r="D17" s="149"/>
      <c r="E17" s="149"/>
      <c r="F17" s="149"/>
      <c r="G17" s="149"/>
      <c r="H17" s="149"/>
      <c r="I17" s="149"/>
      <c r="J17" s="93">
        <f>SUM(J14:J14)</f>
        <v>0</v>
      </c>
      <c r="K17" s="93">
        <f>SUM(K14:K14)</f>
        <v>0</v>
      </c>
      <c r="L17" s="93">
        <f>SUM(L14:L14)</f>
        <v>0</v>
      </c>
      <c r="M17" s="93">
        <f>SUM(M14:M14)</f>
        <v>0</v>
      </c>
      <c r="N17" s="93">
        <f>SUM(N14:N14)</f>
        <v>0</v>
      </c>
      <c r="O17" s="93">
        <f>SUM(O14:O14)</f>
        <v>0</v>
      </c>
      <c r="P17" s="93">
        <f>SUM(P14:P14)</f>
        <v>0</v>
      </c>
      <c r="Q17" s="93">
        <f>SUM(Q14:Q14)</f>
        <v>0</v>
      </c>
      <c r="R17" s="93">
        <f>SUM(R14:R14)</f>
        <v>0</v>
      </c>
      <c r="S17" s="93">
        <f>SUM(S14:S14)</f>
        <v>0</v>
      </c>
      <c r="T17" s="94"/>
      <c r="U17" s="94"/>
      <c r="V17" s="95"/>
      <c r="W17" s="96"/>
      <c r="X17" s="95"/>
      <c r="Y17" s="94"/>
      <c r="Z17" s="94"/>
      <c r="AA17" s="94"/>
      <c r="AB17" s="94"/>
      <c r="AC17" s="97"/>
      <c r="AD17" s="95"/>
      <c r="AE17" s="94"/>
      <c r="AF17" s="94"/>
      <c r="AG17" s="94"/>
      <c r="AH17" s="94"/>
      <c r="AI17" s="94"/>
      <c r="AJ17" s="94"/>
      <c r="AK17" s="98"/>
      <c r="AL17" s="97"/>
      <c r="AM17" s="97"/>
      <c r="AN17" s="94"/>
      <c r="AO17" s="94"/>
      <c r="AP17" s="95"/>
      <c r="AQ17" s="94"/>
      <c r="AR17" s="97"/>
      <c r="AS17" s="94"/>
      <c r="AT17" s="94"/>
      <c r="AU17" s="97"/>
    </row>
    <row r="18" spans="1:47" x14ac:dyDescent="0.2">
      <c r="J18" s="35"/>
      <c r="K18" s="35"/>
      <c r="L18" s="35"/>
      <c r="M18" s="35"/>
      <c r="N18" s="35"/>
      <c r="O18" s="35"/>
      <c r="P18" s="35">
        <f>+P17+O17+N17</f>
        <v>0</v>
      </c>
      <c r="Q18" s="35"/>
      <c r="R18" s="35"/>
      <c r="S18" s="35"/>
    </row>
  </sheetData>
  <autoFilter ref="H1:H14" xr:uid="{00000000-0009-0000-0000-000001000000}"/>
  <mergeCells count="40">
    <mergeCell ref="A17:I17"/>
    <mergeCell ref="U10:V11"/>
    <mergeCell ref="AS10:AS12"/>
    <mergeCell ref="AT10:AT12"/>
    <mergeCell ref="AD10:AD12"/>
    <mergeCell ref="AE10:AE12"/>
    <mergeCell ref="AF10:AF12"/>
    <mergeCell ref="AJ10:AJ12"/>
    <mergeCell ref="AU10:AU12"/>
    <mergeCell ref="G11:H11"/>
    <mergeCell ref="I11:I12"/>
    <mergeCell ref="AM10:AM12"/>
    <mergeCell ref="AN10:AN12"/>
    <mergeCell ref="AO10:AO12"/>
    <mergeCell ref="AP10:AP12"/>
    <mergeCell ref="AQ10:AQ12"/>
    <mergeCell ref="AR10:AR12"/>
    <mergeCell ref="AG10:AG12"/>
    <mergeCell ref="AH10:AH12"/>
    <mergeCell ref="AI10:AI12"/>
    <mergeCell ref="AL10:AL12"/>
    <mergeCell ref="X10:AA11"/>
    <mergeCell ref="AB10:AB12"/>
    <mergeCell ref="AC10:AC12"/>
    <mergeCell ref="A8:AP8"/>
    <mergeCell ref="A10:A12"/>
    <mergeCell ref="B10:B12"/>
    <mergeCell ref="C10:E11"/>
    <mergeCell ref="F10:F12"/>
    <mergeCell ref="G10:I10"/>
    <mergeCell ref="J10:K11"/>
    <mergeCell ref="L10:M11"/>
    <mergeCell ref="N10:O11"/>
    <mergeCell ref="P10:P12"/>
    <mergeCell ref="Q10:Q12"/>
    <mergeCell ref="R10:R12"/>
    <mergeCell ref="S10:S12"/>
    <mergeCell ref="T10:T12"/>
    <mergeCell ref="AK10:AK12"/>
    <mergeCell ref="W10:W12"/>
  </mergeCells>
  <phoneticPr fontId="9" type="noConversion"/>
  <conditionalFormatting sqref="F14:F16">
    <cfRule type="duplicateValues" dxfId="13" priority="112"/>
    <cfRule type="duplicateValues" dxfId="12" priority="113"/>
    <cfRule type="duplicateValues" dxfId="11" priority="114"/>
    <cfRule type="duplicateValues" dxfId="10" priority="115"/>
    <cfRule type="duplicateValues" dxfId="9" priority="116"/>
    <cfRule type="duplicateValues" dxfId="8" priority="117"/>
    <cfRule type="duplicateValues" dxfId="7" priority="118"/>
    <cfRule type="duplicateValues" dxfId="6" priority="119"/>
    <cfRule type="duplicateValues" dxfId="5" priority="120"/>
    <cfRule type="duplicateValues" dxfId="4" priority="121"/>
    <cfRule type="duplicateValues" dxfId="3" priority="122"/>
    <cfRule type="duplicateValues" dxfId="2" priority="123"/>
  </conditionalFormatting>
  <conditionalFormatting sqref="F17:F1048576 F1:F13">
    <cfRule type="duplicateValues" dxfId="1" priority="55"/>
  </conditionalFormatting>
  <conditionalFormatting sqref="F18:F1048576 F1:F13">
    <cfRule type="duplicateValues" dxfId="0" priority="51"/>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8A90-8B2C-41D5-9E23-952BC2734D7F}">
  <dimension ref="A1:AK433"/>
  <sheetViews>
    <sheetView topLeftCell="A401" workbookViewId="0">
      <selection activeCell="E2" sqref="E2:E433"/>
    </sheetView>
  </sheetViews>
  <sheetFormatPr baseColWidth="10" defaultRowHeight="15" x14ac:dyDescent="0.25"/>
  <sheetData>
    <row r="1" spans="1:37" x14ac:dyDescent="0.25">
      <c r="A1" t="s">
        <v>456</v>
      </c>
      <c r="B1" t="s">
        <v>457</v>
      </c>
      <c r="C1" t="s">
        <v>458</v>
      </c>
      <c r="D1" t="s">
        <v>459</v>
      </c>
      <c r="E1" t="s">
        <v>460</v>
      </c>
      <c r="F1" t="s">
        <v>461</v>
      </c>
      <c r="G1" t="s">
        <v>462</v>
      </c>
      <c r="H1" t="s">
        <v>463</v>
      </c>
      <c r="I1" t="s">
        <v>464</v>
      </c>
      <c r="J1" t="s">
        <v>465</v>
      </c>
      <c r="K1" t="s">
        <v>466</v>
      </c>
      <c r="L1" t="s">
        <v>467</v>
      </c>
      <c r="M1" t="s">
        <v>468</v>
      </c>
      <c r="N1" t="s">
        <v>469</v>
      </c>
      <c r="O1" t="s">
        <v>470</v>
      </c>
      <c r="P1" t="s">
        <v>471</v>
      </c>
      <c r="Q1" t="s">
        <v>27</v>
      </c>
      <c r="R1" t="s">
        <v>472</v>
      </c>
      <c r="S1" t="s">
        <v>473</v>
      </c>
      <c r="T1" t="s">
        <v>474</v>
      </c>
      <c r="U1" t="s">
        <v>475</v>
      </c>
      <c r="V1" t="s">
        <v>476</v>
      </c>
      <c r="W1" t="s">
        <v>477</v>
      </c>
      <c r="X1" t="s">
        <v>478</v>
      </c>
      <c r="Y1" t="s">
        <v>479</v>
      </c>
      <c r="Z1" t="s">
        <v>480</v>
      </c>
      <c r="AA1" t="s">
        <v>481</v>
      </c>
      <c r="AB1" t="s">
        <v>482</v>
      </c>
      <c r="AC1" t="s">
        <v>483</v>
      </c>
      <c r="AD1" t="s">
        <v>484</v>
      </c>
      <c r="AE1" t="s">
        <v>485</v>
      </c>
      <c r="AF1" t="s">
        <v>486</v>
      </c>
      <c r="AG1" t="s">
        <v>487</v>
      </c>
      <c r="AH1" t="s">
        <v>488</v>
      </c>
      <c r="AI1" t="s">
        <v>489</v>
      </c>
      <c r="AJ1" t="s">
        <v>490</v>
      </c>
      <c r="AK1" t="s">
        <v>455</v>
      </c>
    </row>
    <row r="2" spans="1:37" x14ac:dyDescent="0.25">
      <c r="A2" s="163">
        <v>46174</v>
      </c>
      <c r="B2" s="163">
        <v>46174</v>
      </c>
      <c r="C2">
        <v>3</v>
      </c>
      <c r="D2" t="s">
        <v>86</v>
      </c>
      <c r="E2">
        <v>31405</v>
      </c>
      <c r="G2">
        <v>1</v>
      </c>
      <c r="H2">
        <v>20018813</v>
      </c>
      <c r="I2" t="s">
        <v>88</v>
      </c>
      <c r="J2">
        <v>0</v>
      </c>
      <c r="K2">
        <v>0</v>
      </c>
      <c r="L2">
        <v>0</v>
      </c>
      <c r="M2">
        <v>0</v>
      </c>
      <c r="N2">
        <v>0</v>
      </c>
      <c r="O2">
        <v>100</v>
      </c>
      <c r="P2">
        <v>0</v>
      </c>
      <c r="Q2">
        <v>0</v>
      </c>
      <c r="R2">
        <v>0</v>
      </c>
      <c r="S2">
        <v>0</v>
      </c>
      <c r="T2">
        <v>0</v>
      </c>
      <c r="U2">
        <v>0</v>
      </c>
      <c r="V2">
        <v>100</v>
      </c>
      <c r="W2" t="s">
        <v>492</v>
      </c>
      <c r="AK2" t="s">
        <v>491</v>
      </c>
    </row>
    <row r="3" spans="1:37" x14ac:dyDescent="0.25">
      <c r="A3" s="163">
        <v>46174</v>
      </c>
      <c r="B3" s="163">
        <v>46174</v>
      </c>
      <c r="C3">
        <v>3</v>
      </c>
      <c r="D3" t="s">
        <v>86</v>
      </c>
      <c r="E3">
        <v>31406</v>
      </c>
      <c r="G3">
        <v>1</v>
      </c>
      <c r="H3">
        <v>23264737</v>
      </c>
      <c r="I3" t="s">
        <v>89</v>
      </c>
      <c r="J3">
        <v>0</v>
      </c>
      <c r="K3">
        <v>0</v>
      </c>
      <c r="L3">
        <v>0</v>
      </c>
      <c r="M3">
        <v>0</v>
      </c>
      <c r="N3">
        <v>0</v>
      </c>
      <c r="O3">
        <v>103.2</v>
      </c>
      <c r="P3">
        <v>0</v>
      </c>
      <c r="Q3">
        <v>0</v>
      </c>
      <c r="R3">
        <v>0</v>
      </c>
      <c r="S3">
        <v>0</v>
      </c>
      <c r="T3">
        <v>0</v>
      </c>
      <c r="U3">
        <v>0</v>
      </c>
      <c r="V3">
        <v>103.2</v>
      </c>
      <c r="W3" t="s">
        <v>492</v>
      </c>
      <c r="AK3" t="s">
        <v>493</v>
      </c>
    </row>
    <row r="4" spans="1:37" x14ac:dyDescent="0.25">
      <c r="A4" s="163">
        <v>46186</v>
      </c>
      <c r="B4" s="163">
        <v>46186</v>
      </c>
      <c r="C4">
        <v>3</v>
      </c>
      <c r="D4" t="s">
        <v>86</v>
      </c>
      <c r="E4">
        <v>31605</v>
      </c>
      <c r="G4">
        <v>1</v>
      </c>
      <c r="H4">
        <v>20054412</v>
      </c>
      <c r="I4" t="s">
        <v>199</v>
      </c>
      <c r="J4">
        <v>0</v>
      </c>
      <c r="K4">
        <v>0</v>
      </c>
      <c r="L4">
        <v>0</v>
      </c>
      <c r="M4">
        <v>0</v>
      </c>
      <c r="N4">
        <v>0</v>
      </c>
      <c r="O4">
        <v>13</v>
      </c>
      <c r="P4">
        <v>0</v>
      </c>
      <c r="Q4">
        <v>0</v>
      </c>
      <c r="R4">
        <v>0</v>
      </c>
      <c r="S4">
        <v>0</v>
      </c>
      <c r="T4">
        <v>0</v>
      </c>
      <c r="U4">
        <v>0</v>
      </c>
      <c r="V4">
        <v>13</v>
      </c>
      <c r="W4" t="s">
        <v>492</v>
      </c>
      <c r="AK4" t="s">
        <v>685</v>
      </c>
    </row>
    <row r="5" spans="1:37" x14ac:dyDescent="0.25">
      <c r="A5" s="163">
        <v>46179</v>
      </c>
      <c r="B5" s="163">
        <v>46179</v>
      </c>
      <c r="C5">
        <v>3</v>
      </c>
      <c r="D5" t="s">
        <v>86</v>
      </c>
      <c r="E5">
        <v>31505</v>
      </c>
      <c r="G5">
        <v>1</v>
      </c>
      <c r="H5">
        <v>20044082</v>
      </c>
      <c r="I5" t="s">
        <v>180</v>
      </c>
      <c r="J5">
        <v>0</v>
      </c>
      <c r="K5">
        <v>0</v>
      </c>
      <c r="L5">
        <v>0</v>
      </c>
      <c r="M5">
        <v>0</v>
      </c>
      <c r="N5">
        <v>0</v>
      </c>
      <c r="O5">
        <v>13.5</v>
      </c>
      <c r="P5">
        <v>0</v>
      </c>
      <c r="Q5">
        <v>0</v>
      </c>
      <c r="R5">
        <v>0</v>
      </c>
      <c r="S5">
        <v>0</v>
      </c>
      <c r="T5">
        <v>0</v>
      </c>
      <c r="U5">
        <v>0</v>
      </c>
      <c r="V5">
        <v>13.5</v>
      </c>
      <c r="W5" t="s">
        <v>492</v>
      </c>
      <c r="AK5" t="s">
        <v>588</v>
      </c>
    </row>
    <row r="6" spans="1:37" x14ac:dyDescent="0.25">
      <c r="A6" s="163">
        <v>46186</v>
      </c>
      <c r="B6" s="163">
        <v>46186</v>
      </c>
      <c r="C6">
        <v>3</v>
      </c>
      <c r="D6" t="s">
        <v>86</v>
      </c>
      <c r="E6">
        <v>31606</v>
      </c>
      <c r="G6">
        <v>1</v>
      </c>
      <c r="H6">
        <v>73443988</v>
      </c>
      <c r="I6" t="s">
        <v>265</v>
      </c>
      <c r="J6">
        <v>0</v>
      </c>
      <c r="K6">
        <v>0</v>
      </c>
      <c r="L6">
        <v>0</v>
      </c>
      <c r="M6">
        <v>0</v>
      </c>
      <c r="N6">
        <v>0</v>
      </c>
      <c r="O6">
        <v>10.7</v>
      </c>
      <c r="P6">
        <v>0</v>
      </c>
      <c r="Q6">
        <v>0</v>
      </c>
      <c r="R6">
        <v>0</v>
      </c>
      <c r="S6">
        <v>0</v>
      </c>
      <c r="T6">
        <v>0</v>
      </c>
      <c r="U6">
        <v>0</v>
      </c>
      <c r="V6">
        <v>10.7</v>
      </c>
      <c r="W6" t="s">
        <v>492</v>
      </c>
      <c r="AK6" t="s">
        <v>686</v>
      </c>
    </row>
    <row r="7" spans="1:37" x14ac:dyDescent="0.25">
      <c r="A7" s="163">
        <v>46179</v>
      </c>
      <c r="B7" s="163">
        <v>46179</v>
      </c>
      <c r="C7">
        <v>3</v>
      </c>
      <c r="D7" t="s">
        <v>86</v>
      </c>
      <c r="E7">
        <v>31509</v>
      </c>
      <c r="G7">
        <v>1</v>
      </c>
      <c r="H7">
        <v>45609801</v>
      </c>
      <c r="I7" t="s">
        <v>184</v>
      </c>
      <c r="J7">
        <v>0</v>
      </c>
      <c r="K7">
        <v>0</v>
      </c>
      <c r="L7">
        <v>0</v>
      </c>
      <c r="M7">
        <v>0</v>
      </c>
      <c r="N7">
        <v>0</v>
      </c>
      <c r="O7">
        <v>10</v>
      </c>
      <c r="P7">
        <v>0</v>
      </c>
      <c r="Q7">
        <v>0</v>
      </c>
      <c r="R7">
        <v>0</v>
      </c>
      <c r="S7">
        <v>0</v>
      </c>
      <c r="T7">
        <v>0</v>
      </c>
      <c r="U7">
        <v>0</v>
      </c>
      <c r="V7">
        <v>10</v>
      </c>
      <c r="W7" t="s">
        <v>492</v>
      </c>
      <c r="AK7" t="s">
        <v>592</v>
      </c>
    </row>
    <row r="8" spans="1:37" x14ac:dyDescent="0.25">
      <c r="A8" s="163">
        <v>46200</v>
      </c>
      <c r="B8" s="163">
        <v>46200</v>
      </c>
      <c r="C8">
        <v>3</v>
      </c>
      <c r="D8" t="s">
        <v>86</v>
      </c>
      <c r="E8">
        <v>31805</v>
      </c>
      <c r="G8">
        <v>1</v>
      </c>
      <c r="H8">
        <v>20905043</v>
      </c>
      <c r="I8" t="s">
        <v>421</v>
      </c>
      <c r="J8">
        <v>0</v>
      </c>
      <c r="K8">
        <v>0</v>
      </c>
      <c r="L8">
        <v>0</v>
      </c>
      <c r="M8">
        <v>0</v>
      </c>
      <c r="N8">
        <v>0</v>
      </c>
      <c r="O8">
        <v>7.5</v>
      </c>
      <c r="P8">
        <v>0</v>
      </c>
      <c r="Q8">
        <v>0</v>
      </c>
      <c r="R8">
        <v>0</v>
      </c>
      <c r="S8">
        <v>0</v>
      </c>
      <c r="T8">
        <v>0</v>
      </c>
      <c r="U8">
        <v>0</v>
      </c>
      <c r="V8">
        <v>7.5</v>
      </c>
      <c r="W8" t="s">
        <v>492</v>
      </c>
      <c r="AK8" t="s">
        <v>884</v>
      </c>
    </row>
    <row r="9" spans="1:37" x14ac:dyDescent="0.25">
      <c r="A9" s="163">
        <v>46186</v>
      </c>
      <c r="B9" s="163">
        <v>46186</v>
      </c>
      <c r="C9">
        <v>3</v>
      </c>
      <c r="D9" t="s">
        <v>86</v>
      </c>
      <c r="E9">
        <v>31607</v>
      </c>
      <c r="G9">
        <v>1</v>
      </c>
      <c r="H9">
        <v>71071758</v>
      </c>
      <c r="I9" t="s">
        <v>266</v>
      </c>
      <c r="J9">
        <v>0</v>
      </c>
      <c r="K9">
        <v>0</v>
      </c>
      <c r="L9">
        <v>0</v>
      </c>
      <c r="M9">
        <v>0</v>
      </c>
      <c r="N9">
        <v>0</v>
      </c>
      <c r="O9">
        <v>10</v>
      </c>
      <c r="P9">
        <v>0</v>
      </c>
      <c r="Q9">
        <v>0</v>
      </c>
      <c r="R9">
        <v>0</v>
      </c>
      <c r="S9">
        <v>0</v>
      </c>
      <c r="T9">
        <v>0</v>
      </c>
      <c r="U9">
        <v>0</v>
      </c>
      <c r="V9">
        <v>10</v>
      </c>
      <c r="W9" t="s">
        <v>492</v>
      </c>
      <c r="AK9" t="s">
        <v>687</v>
      </c>
    </row>
    <row r="10" spans="1:37" x14ac:dyDescent="0.25">
      <c r="A10" s="163">
        <v>46174</v>
      </c>
      <c r="B10" s="163">
        <v>46174</v>
      </c>
      <c r="C10">
        <v>3</v>
      </c>
      <c r="D10" t="s">
        <v>86</v>
      </c>
      <c r="E10">
        <v>31407</v>
      </c>
      <c r="G10">
        <v>1</v>
      </c>
      <c r="H10">
        <v>23444737</v>
      </c>
      <c r="I10" t="s">
        <v>939</v>
      </c>
      <c r="J10">
        <v>0</v>
      </c>
      <c r="K10">
        <v>0</v>
      </c>
      <c r="L10">
        <v>0</v>
      </c>
      <c r="M10">
        <v>0</v>
      </c>
      <c r="N10">
        <v>0</v>
      </c>
      <c r="O10">
        <v>108</v>
      </c>
      <c r="P10">
        <v>0</v>
      </c>
      <c r="Q10">
        <v>0</v>
      </c>
      <c r="R10">
        <v>0</v>
      </c>
      <c r="S10">
        <v>0</v>
      </c>
      <c r="T10">
        <v>0</v>
      </c>
      <c r="U10">
        <v>0</v>
      </c>
      <c r="V10">
        <v>108</v>
      </c>
      <c r="W10" t="s">
        <v>492</v>
      </c>
      <c r="AK10" t="s">
        <v>494</v>
      </c>
    </row>
    <row r="11" spans="1:37" x14ac:dyDescent="0.25">
      <c r="A11" s="163">
        <v>46174</v>
      </c>
      <c r="B11" s="163">
        <v>46174</v>
      </c>
      <c r="C11">
        <v>3</v>
      </c>
      <c r="D11" t="s">
        <v>86</v>
      </c>
      <c r="E11">
        <v>31408</v>
      </c>
      <c r="G11">
        <v>6</v>
      </c>
      <c r="H11">
        <v>20486255171</v>
      </c>
      <c r="I11" t="s">
        <v>91</v>
      </c>
      <c r="J11">
        <v>0</v>
      </c>
      <c r="K11">
        <v>0</v>
      </c>
      <c r="L11">
        <v>0</v>
      </c>
      <c r="M11">
        <v>0</v>
      </c>
      <c r="N11">
        <v>0</v>
      </c>
      <c r="O11">
        <v>101.1</v>
      </c>
      <c r="P11">
        <v>0</v>
      </c>
      <c r="Q11">
        <v>0</v>
      </c>
      <c r="R11">
        <v>0</v>
      </c>
      <c r="S11">
        <v>0</v>
      </c>
      <c r="T11">
        <v>0</v>
      </c>
      <c r="U11">
        <v>0</v>
      </c>
      <c r="V11">
        <v>101.1</v>
      </c>
      <c r="W11" t="s">
        <v>492</v>
      </c>
      <c r="AK11" t="s">
        <v>495</v>
      </c>
    </row>
    <row r="12" spans="1:37" x14ac:dyDescent="0.25">
      <c r="A12" s="163">
        <v>46193</v>
      </c>
      <c r="B12" s="163">
        <v>46193</v>
      </c>
      <c r="C12">
        <v>3</v>
      </c>
      <c r="D12" t="s">
        <v>86</v>
      </c>
      <c r="E12">
        <v>31705</v>
      </c>
      <c r="G12">
        <v>1</v>
      </c>
      <c r="H12">
        <v>43804871</v>
      </c>
      <c r="I12" t="s">
        <v>125</v>
      </c>
      <c r="J12">
        <v>0</v>
      </c>
      <c r="K12">
        <v>0</v>
      </c>
      <c r="L12">
        <v>0</v>
      </c>
      <c r="M12">
        <v>0</v>
      </c>
      <c r="N12">
        <v>0</v>
      </c>
      <c r="O12">
        <v>65</v>
      </c>
      <c r="P12">
        <v>0</v>
      </c>
      <c r="Q12">
        <v>0</v>
      </c>
      <c r="R12">
        <v>0</v>
      </c>
      <c r="S12">
        <v>0</v>
      </c>
      <c r="T12">
        <v>0</v>
      </c>
      <c r="U12">
        <v>0</v>
      </c>
      <c r="V12">
        <v>65</v>
      </c>
      <c r="W12" t="s">
        <v>492</v>
      </c>
      <c r="AK12" t="s">
        <v>784</v>
      </c>
    </row>
    <row r="13" spans="1:37" x14ac:dyDescent="0.25">
      <c r="A13" s="163">
        <v>46200</v>
      </c>
      <c r="B13" s="163">
        <v>46200</v>
      </c>
      <c r="C13">
        <v>3</v>
      </c>
      <c r="D13" t="s">
        <v>86</v>
      </c>
      <c r="E13">
        <v>31811</v>
      </c>
      <c r="G13">
        <v>1</v>
      </c>
      <c r="H13">
        <v>47877521</v>
      </c>
      <c r="I13" t="s">
        <v>424</v>
      </c>
      <c r="J13">
        <v>0</v>
      </c>
      <c r="K13">
        <v>0</v>
      </c>
      <c r="L13">
        <v>0</v>
      </c>
      <c r="M13">
        <v>0</v>
      </c>
      <c r="N13">
        <v>0</v>
      </c>
      <c r="O13">
        <v>95.5</v>
      </c>
      <c r="P13">
        <v>0</v>
      </c>
      <c r="Q13">
        <v>0</v>
      </c>
      <c r="R13">
        <v>0</v>
      </c>
      <c r="S13">
        <v>0</v>
      </c>
      <c r="T13">
        <v>0</v>
      </c>
      <c r="U13">
        <v>0</v>
      </c>
      <c r="V13">
        <v>95.5</v>
      </c>
      <c r="W13" t="s">
        <v>492</v>
      </c>
      <c r="AK13" t="s">
        <v>890</v>
      </c>
    </row>
    <row r="14" spans="1:37" x14ac:dyDescent="0.25">
      <c r="A14" s="163">
        <v>46174</v>
      </c>
      <c r="B14" s="163">
        <v>46174</v>
      </c>
      <c r="C14">
        <v>3</v>
      </c>
      <c r="D14" t="s">
        <v>86</v>
      </c>
      <c r="E14">
        <v>31409</v>
      </c>
      <c r="G14">
        <v>1</v>
      </c>
      <c r="H14">
        <v>23672435</v>
      </c>
      <c r="I14" t="s">
        <v>92</v>
      </c>
      <c r="J14">
        <v>0</v>
      </c>
      <c r="K14">
        <v>0</v>
      </c>
      <c r="L14">
        <v>0</v>
      </c>
      <c r="M14">
        <v>0</v>
      </c>
      <c r="N14">
        <v>0</v>
      </c>
      <c r="O14">
        <v>20</v>
      </c>
      <c r="P14">
        <v>0</v>
      </c>
      <c r="Q14">
        <v>0</v>
      </c>
      <c r="R14">
        <v>0</v>
      </c>
      <c r="S14">
        <v>0</v>
      </c>
      <c r="T14">
        <v>0</v>
      </c>
      <c r="U14">
        <v>0</v>
      </c>
      <c r="V14">
        <v>20</v>
      </c>
      <c r="W14" t="s">
        <v>492</v>
      </c>
      <c r="AK14" t="s">
        <v>496</v>
      </c>
    </row>
    <row r="15" spans="1:37" x14ac:dyDescent="0.25">
      <c r="A15" s="163">
        <v>46179</v>
      </c>
      <c r="B15" s="163">
        <v>46179</v>
      </c>
      <c r="C15">
        <v>3</v>
      </c>
      <c r="D15" t="s">
        <v>86</v>
      </c>
      <c r="E15">
        <v>31510</v>
      </c>
      <c r="G15">
        <v>1</v>
      </c>
      <c r="H15">
        <v>20433381</v>
      </c>
      <c r="I15" t="s">
        <v>185</v>
      </c>
      <c r="J15">
        <v>0</v>
      </c>
      <c r="K15">
        <v>0</v>
      </c>
      <c r="L15">
        <v>0</v>
      </c>
      <c r="M15">
        <v>0</v>
      </c>
      <c r="N15">
        <v>0</v>
      </c>
      <c r="O15">
        <v>25</v>
      </c>
      <c r="P15">
        <v>0</v>
      </c>
      <c r="Q15">
        <v>0</v>
      </c>
      <c r="R15">
        <v>0</v>
      </c>
      <c r="S15">
        <v>0</v>
      </c>
      <c r="T15">
        <v>0</v>
      </c>
      <c r="U15">
        <v>0</v>
      </c>
      <c r="V15">
        <v>25</v>
      </c>
      <c r="W15" t="s">
        <v>492</v>
      </c>
      <c r="AK15" t="s">
        <v>593</v>
      </c>
    </row>
    <row r="16" spans="1:37" x14ac:dyDescent="0.25">
      <c r="A16" s="163">
        <v>46200</v>
      </c>
      <c r="B16" s="163">
        <v>46200</v>
      </c>
      <c r="C16">
        <v>3</v>
      </c>
      <c r="D16" t="s">
        <v>86</v>
      </c>
      <c r="E16">
        <v>31812</v>
      </c>
      <c r="G16">
        <v>1</v>
      </c>
      <c r="H16">
        <v>71557553</v>
      </c>
      <c r="I16" t="s">
        <v>425</v>
      </c>
      <c r="J16">
        <v>0</v>
      </c>
      <c r="K16">
        <v>0</v>
      </c>
      <c r="L16">
        <v>0</v>
      </c>
      <c r="M16">
        <v>0</v>
      </c>
      <c r="N16">
        <v>0</v>
      </c>
      <c r="O16">
        <v>38.200000000000003</v>
      </c>
      <c r="P16">
        <v>0</v>
      </c>
      <c r="Q16">
        <v>0</v>
      </c>
      <c r="R16">
        <v>0</v>
      </c>
      <c r="S16">
        <v>0</v>
      </c>
      <c r="T16">
        <v>0</v>
      </c>
      <c r="U16">
        <v>0</v>
      </c>
      <c r="V16">
        <v>38.200000000000003</v>
      </c>
      <c r="W16" t="s">
        <v>492</v>
      </c>
      <c r="AK16" t="s">
        <v>891</v>
      </c>
    </row>
    <row r="17" spans="1:37" x14ac:dyDescent="0.25">
      <c r="A17" s="163">
        <v>46186</v>
      </c>
      <c r="B17" s="163">
        <v>46186</v>
      </c>
      <c r="C17">
        <v>3</v>
      </c>
      <c r="D17" t="s">
        <v>86</v>
      </c>
      <c r="E17">
        <v>31608</v>
      </c>
      <c r="G17">
        <v>1</v>
      </c>
      <c r="H17">
        <v>71071758</v>
      </c>
      <c r="I17" t="s">
        <v>266</v>
      </c>
      <c r="J17">
        <v>0</v>
      </c>
      <c r="K17">
        <v>0</v>
      </c>
      <c r="L17">
        <v>0</v>
      </c>
      <c r="M17">
        <v>0</v>
      </c>
      <c r="N17">
        <v>0</v>
      </c>
      <c r="O17">
        <v>10</v>
      </c>
      <c r="P17">
        <v>0</v>
      </c>
      <c r="Q17">
        <v>0</v>
      </c>
      <c r="R17">
        <v>0</v>
      </c>
      <c r="S17">
        <v>0</v>
      </c>
      <c r="T17">
        <v>0</v>
      </c>
      <c r="U17">
        <v>0</v>
      </c>
      <c r="V17">
        <v>10</v>
      </c>
      <c r="W17" t="s">
        <v>492</v>
      </c>
      <c r="AK17" t="s">
        <v>688</v>
      </c>
    </row>
    <row r="18" spans="1:37" x14ac:dyDescent="0.25">
      <c r="A18" s="163">
        <v>46179</v>
      </c>
      <c r="B18" s="163">
        <v>46179</v>
      </c>
      <c r="C18">
        <v>3</v>
      </c>
      <c r="D18" t="s">
        <v>86</v>
      </c>
      <c r="E18">
        <v>31506</v>
      </c>
      <c r="G18">
        <v>1</v>
      </c>
      <c r="H18">
        <v>20011255</v>
      </c>
      <c r="I18" t="s">
        <v>181</v>
      </c>
      <c r="J18">
        <v>0</v>
      </c>
      <c r="K18">
        <v>0</v>
      </c>
      <c r="L18">
        <v>0</v>
      </c>
      <c r="M18">
        <v>0</v>
      </c>
      <c r="N18">
        <v>0</v>
      </c>
      <c r="O18">
        <v>10</v>
      </c>
      <c r="P18">
        <v>0</v>
      </c>
      <c r="Q18">
        <v>0</v>
      </c>
      <c r="R18">
        <v>0</v>
      </c>
      <c r="S18">
        <v>0</v>
      </c>
      <c r="T18">
        <v>0</v>
      </c>
      <c r="U18">
        <v>0</v>
      </c>
      <c r="V18">
        <v>10</v>
      </c>
      <c r="W18" t="s">
        <v>492</v>
      </c>
      <c r="AK18" t="s">
        <v>589</v>
      </c>
    </row>
    <row r="19" spans="1:37" x14ac:dyDescent="0.25">
      <c r="A19" s="163">
        <v>46174</v>
      </c>
      <c r="B19" s="163">
        <v>46174</v>
      </c>
      <c r="C19">
        <v>3</v>
      </c>
      <c r="D19" t="s">
        <v>86</v>
      </c>
      <c r="E19">
        <v>31410</v>
      </c>
      <c r="G19">
        <v>1</v>
      </c>
      <c r="H19">
        <v>40980133</v>
      </c>
      <c r="I19" t="s">
        <v>93</v>
      </c>
      <c r="J19">
        <v>0</v>
      </c>
      <c r="K19">
        <v>0</v>
      </c>
      <c r="L19">
        <v>0</v>
      </c>
      <c r="M19">
        <v>0</v>
      </c>
      <c r="N19">
        <v>0</v>
      </c>
      <c r="O19">
        <v>5</v>
      </c>
      <c r="P19">
        <v>0</v>
      </c>
      <c r="Q19">
        <v>0</v>
      </c>
      <c r="R19">
        <v>0</v>
      </c>
      <c r="S19">
        <v>0</v>
      </c>
      <c r="T19">
        <v>0</v>
      </c>
      <c r="U19">
        <v>0</v>
      </c>
      <c r="V19">
        <v>5</v>
      </c>
      <c r="W19" t="s">
        <v>492</v>
      </c>
      <c r="AK19" t="s">
        <v>497</v>
      </c>
    </row>
    <row r="20" spans="1:37" x14ac:dyDescent="0.25">
      <c r="A20" s="163">
        <v>46200</v>
      </c>
      <c r="B20" s="163">
        <v>46200</v>
      </c>
      <c r="C20">
        <v>3</v>
      </c>
      <c r="D20" t="s">
        <v>86</v>
      </c>
      <c r="E20">
        <v>31813</v>
      </c>
      <c r="G20">
        <v>1</v>
      </c>
      <c r="H20">
        <v>20714356</v>
      </c>
      <c r="I20" t="s">
        <v>426</v>
      </c>
      <c r="J20">
        <v>0</v>
      </c>
      <c r="K20">
        <v>0</v>
      </c>
      <c r="L20">
        <v>0</v>
      </c>
      <c r="M20">
        <v>0</v>
      </c>
      <c r="N20">
        <v>0</v>
      </c>
      <c r="O20">
        <v>24.5</v>
      </c>
      <c r="P20">
        <v>0</v>
      </c>
      <c r="Q20">
        <v>0</v>
      </c>
      <c r="R20">
        <v>0</v>
      </c>
      <c r="S20">
        <v>0</v>
      </c>
      <c r="T20">
        <v>0</v>
      </c>
      <c r="U20">
        <v>0</v>
      </c>
      <c r="V20">
        <v>24.5</v>
      </c>
      <c r="W20" t="s">
        <v>492</v>
      </c>
      <c r="AK20" t="s">
        <v>892</v>
      </c>
    </row>
    <row r="21" spans="1:37" x14ac:dyDescent="0.25">
      <c r="A21" s="163">
        <v>46174</v>
      </c>
      <c r="B21" s="163">
        <v>46174</v>
      </c>
      <c r="C21">
        <v>3</v>
      </c>
      <c r="D21" t="s">
        <v>86</v>
      </c>
      <c r="E21">
        <v>31411</v>
      </c>
      <c r="G21">
        <v>1</v>
      </c>
      <c r="H21">
        <v>10335416</v>
      </c>
      <c r="I21" t="s">
        <v>94</v>
      </c>
      <c r="J21">
        <v>0</v>
      </c>
      <c r="K21">
        <v>0</v>
      </c>
      <c r="L21">
        <v>0</v>
      </c>
      <c r="M21">
        <v>0</v>
      </c>
      <c r="N21">
        <v>0</v>
      </c>
      <c r="O21">
        <v>5</v>
      </c>
      <c r="P21">
        <v>0</v>
      </c>
      <c r="Q21">
        <v>0</v>
      </c>
      <c r="R21">
        <v>0</v>
      </c>
      <c r="S21">
        <v>0</v>
      </c>
      <c r="T21">
        <v>0</v>
      </c>
      <c r="U21">
        <v>0</v>
      </c>
      <c r="V21">
        <v>5</v>
      </c>
      <c r="W21" t="s">
        <v>492</v>
      </c>
      <c r="AK21" t="s">
        <v>498</v>
      </c>
    </row>
    <row r="22" spans="1:37" x14ac:dyDescent="0.25">
      <c r="A22" s="163">
        <v>46193</v>
      </c>
      <c r="B22" s="163">
        <v>46193</v>
      </c>
      <c r="C22">
        <v>3</v>
      </c>
      <c r="D22" t="s">
        <v>86</v>
      </c>
      <c r="E22">
        <v>31706</v>
      </c>
      <c r="G22">
        <v>1</v>
      </c>
      <c r="H22">
        <v>20051974</v>
      </c>
      <c r="I22" t="s">
        <v>341</v>
      </c>
      <c r="J22">
        <v>0</v>
      </c>
      <c r="K22">
        <v>0</v>
      </c>
      <c r="L22">
        <v>0</v>
      </c>
      <c r="M22">
        <v>0</v>
      </c>
      <c r="N22">
        <v>0</v>
      </c>
      <c r="O22">
        <v>50.2</v>
      </c>
      <c r="P22">
        <v>0</v>
      </c>
      <c r="Q22">
        <v>0</v>
      </c>
      <c r="R22">
        <v>0</v>
      </c>
      <c r="S22">
        <v>0</v>
      </c>
      <c r="T22">
        <v>0</v>
      </c>
      <c r="U22">
        <v>0</v>
      </c>
      <c r="V22">
        <v>50.2</v>
      </c>
      <c r="W22" t="s">
        <v>492</v>
      </c>
      <c r="AK22" t="s">
        <v>785</v>
      </c>
    </row>
    <row r="23" spans="1:37" x14ac:dyDescent="0.25">
      <c r="A23" s="163">
        <v>46174</v>
      </c>
      <c r="B23" s="163">
        <v>46174</v>
      </c>
      <c r="C23">
        <v>3</v>
      </c>
      <c r="D23" t="s">
        <v>86</v>
      </c>
      <c r="E23">
        <v>31421</v>
      </c>
      <c r="G23">
        <v>6</v>
      </c>
      <c r="H23">
        <v>20600215079</v>
      </c>
      <c r="I23" t="s">
        <v>104</v>
      </c>
      <c r="J23">
        <v>0</v>
      </c>
      <c r="K23">
        <v>0</v>
      </c>
      <c r="L23">
        <v>0</v>
      </c>
      <c r="M23">
        <v>0</v>
      </c>
      <c r="N23">
        <v>0</v>
      </c>
      <c r="O23">
        <v>75</v>
      </c>
      <c r="P23">
        <v>0</v>
      </c>
      <c r="Q23">
        <v>0</v>
      </c>
      <c r="R23">
        <v>0</v>
      </c>
      <c r="S23">
        <v>0</v>
      </c>
      <c r="T23">
        <v>0</v>
      </c>
      <c r="U23">
        <v>0</v>
      </c>
      <c r="V23">
        <v>75</v>
      </c>
      <c r="W23" t="s">
        <v>492</v>
      </c>
      <c r="AK23" t="s">
        <v>508</v>
      </c>
    </row>
    <row r="24" spans="1:37" x14ac:dyDescent="0.25">
      <c r="A24" s="163">
        <v>46179</v>
      </c>
      <c r="B24" s="163">
        <v>46179</v>
      </c>
      <c r="C24">
        <v>3</v>
      </c>
      <c r="D24" t="s">
        <v>86</v>
      </c>
      <c r="E24">
        <v>31507</v>
      </c>
      <c r="G24">
        <v>1</v>
      </c>
      <c r="H24">
        <v>20081315</v>
      </c>
      <c r="I24" t="s">
        <v>182</v>
      </c>
      <c r="J24">
        <v>0</v>
      </c>
      <c r="K24">
        <v>0</v>
      </c>
      <c r="L24">
        <v>0</v>
      </c>
      <c r="M24">
        <v>0</v>
      </c>
      <c r="N24">
        <v>0</v>
      </c>
      <c r="O24">
        <v>42.5</v>
      </c>
      <c r="P24">
        <v>0</v>
      </c>
      <c r="Q24">
        <v>0</v>
      </c>
      <c r="R24">
        <v>0</v>
      </c>
      <c r="S24">
        <v>0</v>
      </c>
      <c r="T24">
        <v>0</v>
      </c>
      <c r="U24">
        <v>0</v>
      </c>
      <c r="V24">
        <v>42.5</v>
      </c>
      <c r="W24" t="s">
        <v>492</v>
      </c>
      <c r="AK24" t="s">
        <v>590</v>
      </c>
    </row>
    <row r="25" spans="1:37" x14ac:dyDescent="0.25">
      <c r="A25" s="163">
        <v>46174</v>
      </c>
      <c r="B25" s="163">
        <v>46174</v>
      </c>
      <c r="C25">
        <v>3</v>
      </c>
      <c r="D25" t="s">
        <v>86</v>
      </c>
      <c r="E25">
        <v>31423</v>
      </c>
      <c r="G25">
        <v>1</v>
      </c>
      <c r="H25">
        <v>20433008</v>
      </c>
      <c r="I25" t="s">
        <v>106</v>
      </c>
      <c r="J25">
        <v>0</v>
      </c>
      <c r="K25">
        <v>0</v>
      </c>
      <c r="L25">
        <v>0</v>
      </c>
      <c r="M25">
        <v>0</v>
      </c>
      <c r="N25">
        <v>0</v>
      </c>
      <c r="O25">
        <v>5.5</v>
      </c>
      <c r="P25">
        <v>0</v>
      </c>
      <c r="Q25">
        <v>0</v>
      </c>
      <c r="R25">
        <v>0</v>
      </c>
      <c r="S25">
        <v>0</v>
      </c>
      <c r="T25">
        <v>0</v>
      </c>
      <c r="U25">
        <v>0</v>
      </c>
      <c r="V25">
        <v>5.5</v>
      </c>
      <c r="W25" t="s">
        <v>492</v>
      </c>
      <c r="AK25" t="s">
        <v>510</v>
      </c>
    </row>
    <row r="26" spans="1:37" x14ac:dyDescent="0.25">
      <c r="A26" s="163">
        <v>46179</v>
      </c>
      <c r="B26" s="163">
        <v>46179</v>
      </c>
      <c r="C26">
        <v>3</v>
      </c>
      <c r="D26" t="s">
        <v>86</v>
      </c>
      <c r="E26">
        <v>31511</v>
      </c>
      <c r="G26">
        <v>1</v>
      </c>
      <c r="H26">
        <v>76613260</v>
      </c>
      <c r="I26" t="s">
        <v>186</v>
      </c>
      <c r="J26">
        <v>0</v>
      </c>
      <c r="K26">
        <v>0</v>
      </c>
      <c r="L26">
        <v>0</v>
      </c>
      <c r="M26">
        <v>0</v>
      </c>
      <c r="N26">
        <v>0</v>
      </c>
      <c r="O26">
        <v>9</v>
      </c>
      <c r="P26">
        <v>0</v>
      </c>
      <c r="Q26">
        <v>0</v>
      </c>
      <c r="R26">
        <v>0</v>
      </c>
      <c r="S26">
        <v>0</v>
      </c>
      <c r="T26">
        <v>0</v>
      </c>
      <c r="U26">
        <v>0</v>
      </c>
      <c r="V26">
        <v>9</v>
      </c>
      <c r="W26" t="s">
        <v>492</v>
      </c>
      <c r="AK26" t="s">
        <v>594</v>
      </c>
    </row>
    <row r="27" spans="1:37" x14ac:dyDescent="0.25">
      <c r="A27" s="163">
        <v>46186</v>
      </c>
      <c r="B27" s="163">
        <v>46186</v>
      </c>
      <c r="C27">
        <v>3</v>
      </c>
      <c r="D27" t="s">
        <v>86</v>
      </c>
      <c r="E27">
        <v>31609</v>
      </c>
      <c r="G27">
        <v>1</v>
      </c>
      <c r="H27">
        <v>19929072</v>
      </c>
      <c r="I27" t="s">
        <v>940</v>
      </c>
      <c r="J27">
        <v>0</v>
      </c>
      <c r="K27">
        <v>0</v>
      </c>
      <c r="L27">
        <v>0</v>
      </c>
      <c r="M27">
        <v>0</v>
      </c>
      <c r="N27">
        <v>0</v>
      </c>
      <c r="O27">
        <v>13.8</v>
      </c>
      <c r="P27">
        <v>0</v>
      </c>
      <c r="Q27">
        <v>0</v>
      </c>
      <c r="R27">
        <v>0</v>
      </c>
      <c r="S27">
        <v>0</v>
      </c>
      <c r="T27">
        <v>0</v>
      </c>
      <c r="U27">
        <v>0</v>
      </c>
      <c r="V27">
        <v>13.8</v>
      </c>
      <c r="W27" t="s">
        <v>492</v>
      </c>
      <c r="AK27" t="s">
        <v>689</v>
      </c>
    </row>
    <row r="28" spans="1:37" x14ac:dyDescent="0.25">
      <c r="A28" s="163">
        <v>46188</v>
      </c>
      <c r="B28" s="163">
        <v>46188</v>
      </c>
      <c r="C28">
        <v>3</v>
      </c>
      <c r="D28" t="s">
        <v>86</v>
      </c>
      <c r="E28">
        <v>31627</v>
      </c>
      <c r="G28">
        <v>1</v>
      </c>
      <c r="H28">
        <v>48039624</v>
      </c>
      <c r="I28" t="s">
        <v>281</v>
      </c>
      <c r="J28">
        <v>0</v>
      </c>
      <c r="K28">
        <v>0</v>
      </c>
      <c r="L28">
        <v>0</v>
      </c>
      <c r="M28">
        <v>0</v>
      </c>
      <c r="N28">
        <v>0</v>
      </c>
      <c r="O28">
        <v>100.8</v>
      </c>
      <c r="P28">
        <v>0</v>
      </c>
      <c r="Q28">
        <v>0</v>
      </c>
      <c r="R28">
        <v>0</v>
      </c>
      <c r="S28">
        <v>0</v>
      </c>
      <c r="T28">
        <v>0</v>
      </c>
      <c r="U28">
        <v>0</v>
      </c>
      <c r="V28">
        <v>100.8</v>
      </c>
      <c r="W28" t="s">
        <v>492</v>
      </c>
      <c r="AK28" t="s">
        <v>707</v>
      </c>
    </row>
    <row r="29" spans="1:37" x14ac:dyDescent="0.25">
      <c r="A29" s="163">
        <v>46174</v>
      </c>
      <c r="B29" s="163">
        <v>46174</v>
      </c>
      <c r="C29">
        <v>3</v>
      </c>
      <c r="D29" t="s">
        <v>86</v>
      </c>
      <c r="E29">
        <v>31412</v>
      </c>
      <c r="G29">
        <v>1</v>
      </c>
      <c r="H29">
        <v>43001373</v>
      </c>
      <c r="I29" t="s">
        <v>95</v>
      </c>
      <c r="J29">
        <v>0</v>
      </c>
      <c r="K29">
        <v>0</v>
      </c>
      <c r="L29">
        <v>0</v>
      </c>
      <c r="M29">
        <v>0</v>
      </c>
      <c r="N29">
        <v>0</v>
      </c>
      <c r="O29">
        <v>7</v>
      </c>
      <c r="P29">
        <v>0</v>
      </c>
      <c r="Q29">
        <v>0</v>
      </c>
      <c r="R29">
        <v>0</v>
      </c>
      <c r="S29">
        <v>0</v>
      </c>
      <c r="T29">
        <v>0</v>
      </c>
      <c r="U29">
        <v>0</v>
      </c>
      <c r="V29">
        <v>7</v>
      </c>
      <c r="W29" t="s">
        <v>492</v>
      </c>
      <c r="AK29" t="s">
        <v>499</v>
      </c>
    </row>
    <row r="30" spans="1:37" x14ac:dyDescent="0.25">
      <c r="A30" s="163">
        <v>46200</v>
      </c>
      <c r="B30" s="163">
        <v>46200</v>
      </c>
      <c r="C30">
        <v>3</v>
      </c>
      <c r="D30" t="s">
        <v>86</v>
      </c>
      <c r="E30">
        <v>31815</v>
      </c>
      <c r="G30">
        <v>1</v>
      </c>
      <c r="H30">
        <v>20417873</v>
      </c>
      <c r="I30" t="s">
        <v>428</v>
      </c>
      <c r="J30">
        <v>0</v>
      </c>
      <c r="K30">
        <v>0</v>
      </c>
      <c r="L30">
        <v>0</v>
      </c>
      <c r="M30">
        <v>0</v>
      </c>
      <c r="N30">
        <v>0</v>
      </c>
      <c r="O30">
        <v>41</v>
      </c>
      <c r="P30">
        <v>0</v>
      </c>
      <c r="Q30">
        <v>0</v>
      </c>
      <c r="R30">
        <v>0</v>
      </c>
      <c r="S30">
        <v>0</v>
      </c>
      <c r="T30">
        <v>0</v>
      </c>
      <c r="U30">
        <v>0</v>
      </c>
      <c r="V30">
        <v>41</v>
      </c>
      <c r="W30" t="s">
        <v>492</v>
      </c>
      <c r="AK30" t="s">
        <v>894</v>
      </c>
    </row>
    <row r="31" spans="1:37" x14ac:dyDescent="0.25">
      <c r="A31" s="163">
        <v>46174</v>
      </c>
      <c r="B31" s="163">
        <v>46174</v>
      </c>
      <c r="C31">
        <v>3</v>
      </c>
      <c r="D31" t="s">
        <v>86</v>
      </c>
      <c r="E31">
        <v>31424</v>
      </c>
      <c r="G31">
        <v>1</v>
      </c>
      <c r="H31">
        <v>76413265</v>
      </c>
      <c r="I31" t="s">
        <v>107</v>
      </c>
      <c r="J31">
        <v>0</v>
      </c>
      <c r="K31">
        <v>0</v>
      </c>
      <c r="L31">
        <v>0</v>
      </c>
      <c r="M31">
        <v>0</v>
      </c>
      <c r="N31">
        <v>0</v>
      </c>
      <c r="O31">
        <v>7.1</v>
      </c>
      <c r="P31">
        <v>0</v>
      </c>
      <c r="Q31">
        <v>0</v>
      </c>
      <c r="R31">
        <v>0</v>
      </c>
      <c r="S31">
        <v>0</v>
      </c>
      <c r="T31">
        <v>0</v>
      </c>
      <c r="U31">
        <v>0</v>
      </c>
      <c r="V31">
        <v>7.1</v>
      </c>
      <c r="W31" t="s">
        <v>492</v>
      </c>
      <c r="AK31" t="s">
        <v>511</v>
      </c>
    </row>
    <row r="32" spans="1:37" x14ac:dyDescent="0.25">
      <c r="A32" s="163">
        <v>46174</v>
      </c>
      <c r="B32" s="163">
        <v>46174</v>
      </c>
      <c r="C32">
        <v>3</v>
      </c>
      <c r="D32" t="s">
        <v>86</v>
      </c>
      <c r="E32">
        <v>31413</v>
      </c>
      <c r="G32">
        <v>1</v>
      </c>
      <c r="H32">
        <v>44468628</v>
      </c>
      <c r="I32" t="s">
        <v>96</v>
      </c>
      <c r="J32">
        <v>0</v>
      </c>
      <c r="K32">
        <v>0</v>
      </c>
      <c r="L32">
        <v>0</v>
      </c>
      <c r="M32">
        <v>0</v>
      </c>
      <c r="N32">
        <v>0</v>
      </c>
      <c r="O32">
        <v>22</v>
      </c>
      <c r="P32">
        <v>0</v>
      </c>
      <c r="Q32">
        <v>0</v>
      </c>
      <c r="R32">
        <v>0</v>
      </c>
      <c r="S32">
        <v>0</v>
      </c>
      <c r="T32">
        <v>0</v>
      </c>
      <c r="U32">
        <v>0</v>
      </c>
      <c r="V32">
        <v>22</v>
      </c>
      <c r="W32" t="s">
        <v>492</v>
      </c>
      <c r="AK32" t="s">
        <v>500</v>
      </c>
    </row>
    <row r="33" spans="1:37" x14ac:dyDescent="0.25">
      <c r="A33" s="163">
        <v>46193</v>
      </c>
      <c r="B33" s="163">
        <v>46193</v>
      </c>
      <c r="C33">
        <v>3</v>
      </c>
      <c r="D33" t="s">
        <v>86</v>
      </c>
      <c r="E33">
        <v>31707</v>
      </c>
      <c r="G33">
        <v>1</v>
      </c>
      <c r="H33">
        <v>45338090</v>
      </c>
      <c r="I33" t="s">
        <v>342</v>
      </c>
      <c r="J33">
        <v>0</v>
      </c>
      <c r="K33">
        <v>0</v>
      </c>
      <c r="L33">
        <v>0</v>
      </c>
      <c r="M33">
        <v>0</v>
      </c>
      <c r="N33">
        <v>0</v>
      </c>
      <c r="O33">
        <v>6.2</v>
      </c>
      <c r="P33">
        <v>0</v>
      </c>
      <c r="Q33">
        <v>0</v>
      </c>
      <c r="R33">
        <v>0</v>
      </c>
      <c r="S33">
        <v>0</v>
      </c>
      <c r="T33">
        <v>0</v>
      </c>
      <c r="U33">
        <v>0</v>
      </c>
      <c r="V33">
        <v>6.2</v>
      </c>
      <c r="W33" t="s">
        <v>492</v>
      </c>
      <c r="AK33" t="s">
        <v>786</v>
      </c>
    </row>
    <row r="34" spans="1:37" x14ac:dyDescent="0.25">
      <c r="A34" s="163">
        <v>46179</v>
      </c>
      <c r="B34" s="163">
        <v>46179</v>
      </c>
      <c r="C34">
        <v>3</v>
      </c>
      <c r="D34" t="s">
        <v>86</v>
      </c>
      <c r="E34">
        <v>31512</v>
      </c>
      <c r="G34">
        <v>1</v>
      </c>
      <c r="H34">
        <v>48219929</v>
      </c>
      <c r="I34" t="s">
        <v>187</v>
      </c>
      <c r="J34">
        <v>0</v>
      </c>
      <c r="K34">
        <v>0</v>
      </c>
      <c r="L34">
        <v>0</v>
      </c>
      <c r="M34">
        <v>0</v>
      </c>
      <c r="N34">
        <v>0</v>
      </c>
      <c r="O34">
        <v>13</v>
      </c>
      <c r="P34">
        <v>0</v>
      </c>
      <c r="Q34">
        <v>0</v>
      </c>
      <c r="R34">
        <v>0</v>
      </c>
      <c r="S34">
        <v>0</v>
      </c>
      <c r="T34">
        <v>0</v>
      </c>
      <c r="U34">
        <v>0</v>
      </c>
      <c r="V34">
        <v>13</v>
      </c>
      <c r="W34" t="s">
        <v>492</v>
      </c>
      <c r="AK34" t="s">
        <v>595</v>
      </c>
    </row>
    <row r="35" spans="1:37" x14ac:dyDescent="0.25">
      <c r="A35" s="163">
        <v>46200</v>
      </c>
      <c r="B35" s="163">
        <v>46200</v>
      </c>
      <c r="C35">
        <v>3</v>
      </c>
      <c r="D35" t="s">
        <v>86</v>
      </c>
      <c r="E35">
        <v>31814</v>
      </c>
      <c r="G35">
        <v>1</v>
      </c>
      <c r="H35">
        <v>20432651</v>
      </c>
      <c r="I35" t="s">
        <v>427</v>
      </c>
      <c r="J35">
        <v>0</v>
      </c>
      <c r="K35">
        <v>0</v>
      </c>
      <c r="L35">
        <v>0</v>
      </c>
      <c r="M35">
        <v>0</v>
      </c>
      <c r="N35">
        <v>0</v>
      </c>
      <c r="O35">
        <v>40</v>
      </c>
      <c r="P35">
        <v>0</v>
      </c>
      <c r="Q35">
        <v>0</v>
      </c>
      <c r="R35">
        <v>0</v>
      </c>
      <c r="S35">
        <v>0</v>
      </c>
      <c r="T35">
        <v>0</v>
      </c>
      <c r="U35">
        <v>0</v>
      </c>
      <c r="V35">
        <v>40</v>
      </c>
      <c r="W35" t="s">
        <v>492</v>
      </c>
      <c r="AK35" t="s">
        <v>893</v>
      </c>
    </row>
    <row r="36" spans="1:37" x14ac:dyDescent="0.25">
      <c r="A36" s="163">
        <v>46186</v>
      </c>
      <c r="B36" s="163">
        <v>46186</v>
      </c>
      <c r="C36">
        <v>3</v>
      </c>
      <c r="D36" t="s">
        <v>86</v>
      </c>
      <c r="E36">
        <v>31611</v>
      </c>
      <c r="G36">
        <v>1</v>
      </c>
      <c r="H36">
        <v>19961734</v>
      </c>
      <c r="I36" t="s">
        <v>268</v>
      </c>
      <c r="J36">
        <v>0</v>
      </c>
      <c r="K36">
        <v>0</v>
      </c>
      <c r="L36">
        <v>0</v>
      </c>
      <c r="M36">
        <v>0</v>
      </c>
      <c r="N36">
        <v>0</v>
      </c>
      <c r="O36">
        <v>50</v>
      </c>
      <c r="P36">
        <v>0</v>
      </c>
      <c r="Q36">
        <v>0</v>
      </c>
      <c r="R36">
        <v>0</v>
      </c>
      <c r="S36">
        <v>0</v>
      </c>
      <c r="T36">
        <v>0</v>
      </c>
      <c r="U36">
        <v>0</v>
      </c>
      <c r="V36">
        <v>50</v>
      </c>
      <c r="W36" t="s">
        <v>492</v>
      </c>
      <c r="AK36" t="s">
        <v>691</v>
      </c>
    </row>
    <row r="37" spans="1:37" x14ac:dyDescent="0.25">
      <c r="A37" s="163">
        <v>46200</v>
      </c>
      <c r="B37" s="163">
        <v>46200</v>
      </c>
      <c r="C37">
        <v>3</v>
      </c>
      <c r="D37" t="s">
        <v>86</v>
      </c>
      <c r="E37">
        <v>31816</v>
      </c>
      <c r="G37">
        <v>1</v>
      </c>
      <c r="H37">
        <v>19867476</v>
      </c>
      <c r="I37" t="s">
        <v>941</v>
      </c>
      <c r="J37">
        <v>0</v>
      </c>
      <c r="K37">
        <v>0</v>
      </c>
      <c r="L37">
        <v>0</v>
      </c>
      <c r="M37">
        <v>0</v>
      </c>
      <c r="N37">
        <v>0</v>
      </c>
      <c r="O37">
        <v>51.5</v>
      </c>
      <c r="P37">
        <v>0</v>
      </c>
      <c r="Q37">
        <v>0</v>
      </c>
      <c r="R37">
        <v>0</v>
      </c>
      <c r="S37">
        <v>0</v>
      </c>
      <c r="T37">
        <v>0</v>
      </c>
      <c r="U37">
        <v>0</v>
      </c>
      <c r="V37">
        <v>51.5</v>
      </c>
      <c r="W37" t="s">
        <v>492</v>
      </c>
      <c r="AK37" t="s">
        <v>895</v>
      </c>
    </row>
    <row r="38" spans="1:37" x14ac:dyDescent="0.25">
      <c r="A38" s="163">
        <v>46195</v>
      </c>
      <c r="B38" s="163">
        <v>46195</v>
      </c>
      <c r="C38">
        <v>3</v>
      </c>
      <c r="D38" t="s">
        <v>86</v>
      </c>
      <c r="E38">
        <v>31722</v>
      </c>
      <c r="G38">
        <v>1</v>
      </c>
      <c r="H38">
        <v>72445234</v>
      </c>
      <c r="I38" t="s">
        <v>354</v>
      </c>
      <c r="J38">
        <v>0</v>
      </c>
      <c r="K38">
        <v>0</v>
      </c>
      <c r="L38">
        <v>0</v>
      </c>
      <c r="M38">
        <v>0</v>
      </c>
      <c r="N38">
        <v>0</v>
      </c>
      <c r="O38">
        <v>7.5</v>
      </c>
      <c r="P38">
        <v>0</v>
      </c>
      <c r="Q38">
        <v>0</v>
      </c>
      <c r="R38">
        <v>0</v>
      </c>
      <c r="S38">
        <v>0</v>
      </c>
      <c r="T38">
        <v>0</v>
      </c>
      <c r="U38">
        <v>0</v>
      </c>
      <c r="V38">
        <v>7.5</v>
      </c>
      <c r="W38" t="s">
        <v>492</v>
      </c>
      <c r="AK38" t="s">
        <v>801</v>
      </c>
    </row>
    <row r="39" spans="1:37" x14ac:dyDescent="0.25">
      <c r="A39" s="163">
        <v>46188</v>
      </c>
      <c r="B39" s="163">
        <v>46188</v>
      </c>
      <c r="C39">
        <v>3</v>
      </c>
      <c r="D39" t="s">
        <v>86</v>
      </c>
      <c r="E39">
        <v>31628</v>
      </c>
      <c r="G39">
        <v>1</v>
      </c>
      <c r="H39">
        <v>40816816</v>
      </c>
      <c r="I39" t="s">
        <v>239</v>
      </c>
      <c r="J39">
        <v>0</v>
      </c>
      <c r="K39">
        <v>0</v>
      </c>
      <c r="L39">
        <v>0</v>
      </c>
      <c r="M39">
        <v>0</v>
      </c>
      <c r="N39">
        <v>0</v>
      </c>
      <c r="O39">
        <v>50</v>
      </c>
      <c r="P39">
        <v>0</v>
      </c>
      <c r="Q39">
        <v>0</v>
      </c>
      <c r="R39">
        <v>0</v>
      </c>
      <c r="S39">
        <v>0</v>
      </c>
      <c r="T39">
        <v>0</v>
      </c>
      <c r="U39">
        <v>0</v>
      </c>
      <c r="V39">
        <v>50</v>
      </c>
      <c r="W39" t="s">
        <v>492</v>
      </c>
      <c r="AK39" t="s">
        <v>708</v>
      </c>
    </row>
    <row r="40" spans="1:37" x14ac:dyDescent="0.25">
      <c r="A40" s="163">
        <v>46188</v>
      </c>
      <c r="B40" s="163">
        <v>46188</v>
      </c>
      <c r="C40">
        <v>3</v>
      </c>
      <c r="D40" t="s">
        <v>86</v>
      </c>
      <c r="E40">
        <v>31630</v>
      </c>
      <c r="G40">
        <v>1</v>
      </c>
      <c r="H40">
        <v>20019197</v>
      </c>
      <c r="I40" t="s">
        <v>282</v>
      </c>
      <c r="J40">
        <v>0</v>
      </c>
      <c r="K40">
        <v>0</v>
      </c>
      <c r="L40">
        <v>0</v>
      </c>
      <c r="M40">
        <v>0</v>
      </c>
      <c r="N40">
        <v>0</v>
      </c>
      <c r="O40">
        <v>131.69999999999999</v>
      </c>
      <c r="P40">
        <v>0</v>
      </c>
      <c r="Q40">
        <v>0</v>
      </c>
      <c r="R40">
        <v>0</v>
      </c>
      <c r="S40">
        <v>0</v>
      </c>
      <c r="T40">
        <v>0</v>
      </c>
      <c r="U40">
        <v>0</v>
      </c>
      <c r="V40">
        <v>131.69999999999999</v>
      </c>
      <c r="W40" t="s">
        <v>492</v>
      </c>
      <c r="AK40" t="s">
        <v>710</v>
      </c>
    </row>
    <row r="41" spans="1:37" x14ac:dyDescent="0.25">
      <c r="A41" s="163">
        <v>46174</v>
      </c>
      <c r="B41" s="163">
        <v>46174</v>
      </c>
      <c r="C41">
        <v>3</v>
      </c>
      <c r="D41" t="s">
        <v>86</v>
      </c>
      <c r="E41">
        <v>31422</v>
      </c>
      <c r="G41">
        <v>1</v>
      </c>
      <c r="H41">
        <v>19969604</v>
      </c>
      <c r="I41" t="s">
        <v>105</v>
      </c>
      <c r="J41">
        <v>0</v>
      </c>
      <c r="K41">
        <v>0</v>
      </c>
      <c r="L41">
        <v>0</v>
      </c>
      <c r="M41">
        <v>0</v>
      </c>
      <c r="N41">
        <v>0</v>
      </c>
      <c r="O41">
        <v>50</v>
      </c>
      <c r="P41">
        <v>0</v>
      </c>
      <c r="Q41">
        <v>0</v>
      </c>
      <c r="R41">
        <v>0</v>
      </c>
      <c r="S41">
        <v>0</v>
      </c>
      <c r="T41">
        <v>0</v>
      </c>
      <c r="U41">
        <v>0</v>
      </c>
      <c r="V41">
        <v>50</v>
      </c>
      <c r="W41" t="s">
        <v>492</v>
      </c>
      <c r="AK41" t="s">
        <v>509</v>
      </c>
    </row>
    <row r="42" spans="1:37" x14ac:dyDescent="0.25">
      <c r="A42" s="163">
        <v>46179</v>
      </c>
      <c r="B42" s="163">
        <v>46179</v>
      </c>
      <c r="C42">
        <v>3</v>
      </c>
      <c r="D42" t="s">
        <v>86</v>
      </c>
      <c r="E42">
        <v>31514</v>
      </c>
      <c r="G42">
        <v>1</v>
      </c>
      <c r="H42">
        <v>40161476</v>
      </c>
      <c r="I42" t="s">
        <v>189</v>
      </c>
      <c r="J42">
        <v>0</v>
      </c>
      <c r="K42">
        <v>0</v>
      </c>
      <c r="L42">
        <v>0</v>
      </c>
      <c r="M42">
        <v>0</v>
      </c>
      <c r="N42">
        <v>0</v>
      </c>
      <c r="O42">
        <v>10.1</v>
      </c>
      <c r="P42">
        <v>0</v>
      </c>
      <c r="Q42">
        <v>0</v>
      </c>
      <c r="R42">
        <v>0</v>
      </c>
      <c r="S42">
        <v>0</v>
      </c>
      <c r="T42">
        <v>0</v>
      </c>
      <c r="U42">
        <v>0</v>
      </c>
      <c r="V42">
        <v>10.1</v>
      </c>
      <c r="W42" t="s">
        <v>492</v>
      </c>
      <c r="AK42" t="s">
        <v>597</v>
      </c>
    </row>
    <row r="43" spans="1:37" x14ac:dyDescent="0.25">
      <c r="A43" s="163">
        <v>46188</v>
      </c>
      <c r="B43" s="163">
        <v>46188</v>
      </c>
      <c r="C43">
        <v>3</v>
      </c>
      <c r="D43" t="s">
        <v>86</v>
      </c>
      <c r="E43">
        <v>31626</v>
      </c>
      <c r="G43">
        <v>1</v>
      </c>
      <c r="H43">
        <v>19806245</v>
      </c>
      <c r="I43" t="s">
        <v>280</v>
      </c>
      <c r="J43">
        <v>0</v>
      </c>
      <c r="K43">
        <v>0</v>
      </c>
      <c r="L43">
        <v>0</v>
      </c>
      <c r="M43">
        <v>0</v>
      </c>
      <c r="N43">
        <v>0</v>
      </c>
      <c r="O43">
        <v>25</v>
      </c>
      <c r="P43">
        <v>0</v>
      </c>
      <c r="Q43">
        <v>0</v>
      </c>
      <c r="R43">
        <v>0</v>
      </c>
      <c r="S43">
        <v>0</v>
      </c>
      <c r="T43">
        <v>0</v>
      </c>
      <c r="U43">
        <v>0</v>
      </c>
      <c r="V43">
        <v>25</v>
      </c>
      <c r="W43" t="s">
        <v>492</v>
      </c>
      <c r="AK43" t="s">
        <v>706</v>
      </c>
    </row>
    <row r="44" spans="1:37" x14ac:dyDescent="0.25">
      <c r="A44" s="163">
        <v>46179</v>
      </c>
      <c r="B44" s="163">
        <v>46179</v>
      </c>
      <c r="C44">
        <v>3</v>
      </c>
      <c r="D44" t="s">
        <v>86</v>
      </c>
      <c r="E44">
        <v>31508</v>
      </c>
      <c r="G44">
        <v>1</v>
      </c>
      <c r="H44">
        <v>45801199</v>
      </c>
      <c r="I44" t="s">
        <v>942</v>
      </c>
      <c r="J44">
        <v>0</v>
      </c>
      <c r="K44">
        <v>0</v>
      </c>
      <c r="L44">
        <v>0</v>
      </c>
      <c r="M44">
        <v>0</v>
      </c>
      <c r="N44">
        <v>0</v>
      </c>
      <c r="O44">
        <v>20</v>
      </c>
      <c r="P44">
        <v>0</v>
      </c>
      <c r="Q44">
        <v>0</v>
      </c>
      <c r="R44">
        <v>0</v>
      </c>
      <c r="S44">
        <v>0</v>
      </c>
      <c r="T44">
        <v>0</v>
      </c>
      <c r="U44">
        <v>0</v>
      </c>
      <c r="V44">
        <v>20</v>
      </c>
      <c r="W44" t="s">
        <v>492</v>
      </c>
      <c r="AK44" t="s">
        <v>591</v>
      </c>
    </row>
    <row r="45" spans="1:37" x14ac:dyDescent="0.25">
      <c r="A45" s="163">
        <v>46186</v>
      </c>
      <c r="B45" s="163">
        <v>46186</v>
      </c>
      <c r="C45">
        <v>3</v>
      </c>
      <c r="D45" t="s">
        <v>86</v>
      </c>
      <c r="E45">
        <v>31610</v>
      </c>
      <c r="G45">
        <v>1</v>
      </c>
      <c r="H45">
        <v>73697849</v>
      </c>
      <c r="I45" t="s">
        <v>267</v>
      </c>
      <c r="J45">
        <v>0</v>
      </c>
      <c r="K45">
        <v>0</v>
      </c>
      <c r="L45">
        <v>0</v>
      </c>
      <c r="M45">
        <v>0</v>
      </c>
      <c r="N45">
        <v>0</v>
      </c>
      <c r="O45">
        <v>10.1</v>
      </c>
      <c r="P45">
        <v>0</v>
      </c>
      <c r="Q45">
        <v>0</v>
      </c>
      <c r="R45">
        <v>0</v>
      </c>
      <c r="S45">
        <v>0</v>
      </c>
      <c r="T45">
        <v>0</v>
      </c>
      <c r="U45">
        <v>0</v>
      </c>
      <c r="V45">
        <v>10.1</v>
      </c>
      <c r="W45" t="s">
        <v>492</v>
      </c>
      <c r="AK45" t="s">
        <v>690</v>
      </c>
    </row>
    <row r="46" spans="1:37" x14ac:dyDescent="0.25">
      <c r="A46" s="163">
        <v>46200</v>
      </c>
      <c r="B46" s="163">
        <v>46200</v>
      </c>
      <c r="C46">
        <v>3</v>
      </c>
      <c r="D46" t="s">
        <v>86</v>
      </c>
      <c r="E46">
        <v>31807</v>
      </c>
      <c r="G46">
        <v>6</v>
      </c>
      <c r="H46">
        <v>20600723317</v>
      </c>
      <c r="I46" t="s">
        <v>422</v>
      </c>
      <c r="J46">
        <v>0</v>
      </c>
      <c r="K46">
        <v>0</v>
      </c>
      <c r="L46">
        <v>0</v>
      </c>
      <c r="M46">
        <v>0</v>
      </c>
      <c r="N46">
        <v>0</v>
      </c>
      <c r="O46">
        <v>217.5</v>
      </c>
      <c r="P46">
        <v>0</v>
      </c>
      <c r="Q46">
        <v>0</v>
      </c>
      <c r="R46">
        <v>0</v>
      </c>
      <c r="S46">
        <v>0</v>
      </c>
      <c r="T46">
        <v>0</v>
      </c>
      <c r="U46">
        <v>0</v>
      </c>
      <c r="V46">
        <v>217.5</v>
      </c>
      <c r="W46" t="s">
        <v>492</v>
      </c>
      <c r="AK46" t="s">
        <v>886</v>
      </c>
    </row>
    <row r="47" spans="1:37" x14ac:dyDescent="0.25">
      <c r="A47" s="163">
        <v>46186</v>
      </c>
      <c r="B47" s="163">
        <v>46186</v>
      </c>
      <c r="C47">
        <v>3</v>
      </c>
      <c r="D47" t="s">
        <v>86</v>
      </c>
      <c r="E47">
        <v>31612</v>
      </c>
      <c r="G47">
        <v>1</v>
      </c>
      <c r="H47">
        <v>40693488</v>
      </c>
      <c r="I47" t="s">
        <v>269</v>
      </c>
      <c r="J47">
        <v>0</v>
      </c>
      <c r="K47">
        <v>0</v>
      </c>
      <c r="L47">
        <v>0</v>
      </c>
      <c r="M47">
        <v>0</v>
      </c>
      <c r="N47">
        <v>0</v>
      </c>
      <c r="O47">
        <v>73.5</v>
      </c>
      <c r="P47">
        <v>0</v>
      </c>
      <c r="Q47">
        <v>0</v>
      </c>
      <c r="R47">
        <v>0</v>
      </c>
      <c r="S47">
        <v>0</v>
      </c>
      <c r="T47">
        <v>0</v>
      </c>
      <c r="U47">
        <v>0</v>
      </c>
      <c r="V47">
        <v>73.5</v>
      </c>
      <c r="W47" t="s">
        <v>492</v>
      </c>
      <c r="AK47" t="s">
        <v>692</v>
      </c>
    </row>
    <row r="48" spans="1:37" x14ac:dyDescent="0.25">
      <c r="A48" s="163">
        <v>46188</v>
      </c>
      <c r="B48" s="163">
        <v>46188</v>
      </c>
      <c r="C48">
        <v>3</v>
      </c>
      <c r="D48" t="s">
        <v>86</v>
      </c>
      <c r="E48">
        <v>31629</v>
      </c>
      <c r="G48">
        <v>1</v>
      </c>
      <c r="H48">
        <v>43804871</v>
      </c>
      <c r="I48" t="s">
        <v>125</v>
      </c>
      <c r="J48">
        <v>0</v>
      </c>
      <c r="K48">
        <v>0</v>
      </c>
      <c r="L48">
        <v>0</v>
      </c>
      <c r="M48">
        <v>0</v>
      </c>
      <c r="N48">
        <v>0</v>
      </c>
      <c r="O48">
        <v>50</v>
      </c>
      <c r="P48">
        <v>0</v>
      </c>
      <c r="Q48">
        <v>0</v>
      </c>
      <c r="R48">
        <v>0</v>
      </c>
      <c r="S48">
        <v>0</v>
      </c>
      <c r="T48">
        <v>0</v>
      </c>
      <c r="U48">
        <v>0</v>
      </c>
      <c r="V48">
        <v>50</v>
      </c>
      <c r="W48" t="s">
        <v>492</v>
      </c>
      <c r="AK48" t="s">
        <v>709</v>
      </c>
    </row>
    <row r="49" spans="1:37" x14ac:dyDescent="0.25">
      <c r="A49" s="163">
        <v>46186</v>
      </c>
      <c r="B49" s="163">
        <v>46186</v>
      </c>
      <c r="C49">
        <v>3</v>
      </c>
      <c r="D49" t="s">
        <v>86</v>
      </c>
      <c r="E49">
        <v>31613</v>
      </c>
      <c r="G49">
        <v>1</v>
      </c>
      <c r="H49">
        <v>20106302</v>
      </c>
      <c r="I49" t="s">
        <v>270</v>
      </c>
      <c r="J49">
        <v>0</v>
      </c>
      <c r="K49">
        <v>0</v>
      </c>
      <c r="L49">
        <v>0</v>
      </c>
      <c r="M49">
        <v>0</v>
      </c>
      <c r="N49">
        <v>0</v>
      </c>
      <c r="O49">
        <v>10</v>
      </c>
      <c r="P49">
        <v>0</v>
      </c>
      <c r="Q49">
        <v>0</v>
      </c>
      <c r="R49">
        <v>0</v>
      </c>
      <c r="S49">
        <v>0</v>
      </c>
      <c r="T49">
        <v>0</v>
      </c>
      <c r="U49">
        <v>0</v>
      </c>
      <c r="V49">
        <v>10</v>
      </c>
      <c r="W49" t="s">
        <v>492</v>
      </c>
      <c r="AK49" t="s">
        <v>693</v>
      </c>
    </row>
    <row r="50" spans="1:37" x14ac:dyDescent="0.25">
      <c r="A50" s="163">
        <v>46200</v>
      </c>
      <c r="B50" s="163">
        <v>46200</v>
      </c>
      <c r="C50">
        <v>3</v>
      </c>
      <c r="D50" t="s">
        <v>86</v>
      </c>
      <c r="E50">
        <v>31818</v>
      </c>
      <c r="G50">
        <v>1</v>
      </c>
      <c r="H50">
        <v>74066435</v>
      </c>
      <c r="I50" t="s">
        <v>430</v>
      </c>
      <c r="J50">
        <v>0</v>
      </c>
      <c r="K50">
        <v>0</v>
      </c>
      <c r="L50">
        <v>0</v>
      </c>
      <c r="M50">
        <v>0</v>
      </c>
      <c r="N50">
        <v>0</v>
      </c>
      <c r="O50">
        <v>75</v>
      </c>
      <c r="P50">
        <v>0</v>
      </c>
      <c r="Q50">
        <v>0</v>
      </c>
      <c r="R50">
        <v>0</v>
      </c>
      <c r="S50">
        <v>0</v>
      </c>
      <c r="T50">
        <v>0</v>
      </c>
      <c r="U50">
        <v>0</v>
      </c>
      <c r="V50">
        <v>75</v>
      </c>
      <c r="W50" t="s">
        <v>492</v>
      </c>
      <c r="AK50" t="s">
        <v>897</v>
      </c>
    </row>
    <row r="51" spans="1:37" x14ac:dyDescent="0.25">
      <c r="A51" s="163">
        <v>46200</v>
      </c>
      <c r="B51" s="163">
        <v>46200</v>
      </c>
      <c r="C51">
        <v>3</v>
      </c>
      <c r="D51" t="s">
        <v>86</v>
      </c>
      <c r="E51">
        <v>31808</v>
      </c>
      <c r="G51">
        <v>6</v>
      </c>
      <c r="H51">
        <v>20600215079</v>
      </c>
      <c r="I51" t="s">
        <v>104</v>
      </c>
      <c r="J51">
        <v>0</v>
      </c>
      <c r="K51">
        <v>0</v>
      </c>
      <c r="L51">
        <v>0</v>
      </c>
      <c r="M51">
        <v>0</v>
      </c>
      <c r="N51">
        <v>0</v>
      </c>
      <c r="O51">
        <v>100</v>
      </c>
      <c r="P51">
        <v>0</v>
      </c>
      <c r="Q51">
        <v>0</v>
      </c>
      <c r="R51">
        <v>0</v>
      </c>
      <c r="S51">
        <v>0</v>
      </c>
      <c r="T51">
        <v>0</v>
      </c>
      <c r="U51">
        <v>0</v>
      </c>
      <c r="V51">
        <v>100</v>
      </c>
      <c r="W51" t="s">
        <v>492</v>
      </c>
      <c r="AK51" t="s">
        <v>887</v>
      </c>
    </row>
    <row r="52" spans="1:37" x14ac:dyDescent="0.25">
      <c r="A52" s="163">
        <v>46195</v>
      </c>
      <c r="B52" s="163">
        <v>46195</v>
      </c>
      <c r="C52">
        <v>3</v>
      </c>
      <c r="D52" t="s">
        <v>86</v>
      </c>
      <c r="E52">
        <v>31724</v>
      </c>
      <c r="G52">
        <v>1</v>
      </c>
      <c r="H52">
        <v>80064281</v>
      </c>
      <c r="I52" t="s">
        <v>356</v>
      </c>
      <c r="J52">
        <v>0</v>
      </c>
      <c r="K52">
        <v>0</v>
      </c>
      <c r="L52">
        <v>0</v>
      </c>
      <c r="M52">
        <v>0</v>
      </c>
      <c r="N52">
        <v>0</v>
      </c>
      <c r="O52">
        <v>107.5</v>
      </c>
      <c r="P52">
        <v>0</v>
      </c>
      <c r="Q52">
        <v>0</v>
      </c>
      <c r="R52">
        <v>0</v>
      </c>
      <c r="S52">
        <v>0</v>
      </c>
      <c r="T52">
        <v>0</v>
      </c>
      <c r="U52">
        <v>0</v>
      </c>
      <c r="V52">
        <v>107.5</v>
      </c>
      <c r="W52" t="s">
        <v>492</v>
      </c>
      <c r="AK52" t="s">
        <v>803</v>
      </c>
    </row>
    <row r="53" spans="1:37" x14ac:dyDescent="0.25">
      <c r="A53" s="163">
        <v>46200</v>
      </c>
      <c r="B53" s="163">
        <v>46200</v>
      </c>
      <c r="C53">
        <v>3</v>
      </c>
      <c r="D53" t="s">
        <v>86</v>
      </c>
      <c r="E53">
        <v>31806</v>
      </c>
      <c r="G53">
        <v>6</v>
      </c>
      <c r="H53">
        <v>20612437298</v>
      </c>
      <c r="I53" t="s">
        <v>943</v>
      </c>
      <c r="J53">
        <v>0</v>
      </c>
      <c r="K53">
        <v>0</v>
      </c>
      <c r="L53">
        <v>0</v>
      </c>
      <c r="M53">
        <v>0</v>
      </c>
      <c r="N53">
        <v>0</v>
      </c>
      <c r="O53">
        <v>1.4</v>
      </c>
      <c r="P53">
        <v>0</v>
      </c>
      <c r="Q53">
        <v>0</v>
      </c>
      <c r="R53">
        <v>0</v>
      </c>
      <c r="S53">
        <v>0</v>
      </c>
      <c r="T53">
        <v>0</v>
      </c>
      <c r="U53">
        <v>0</v>
      </c>
      <c r="V53">
        <v>1.4</v>
      </c>
      <c r="W53" t="s">
        <v>492</v>
      </c>
      <c r="AK53" t="s">
        <v>885</v>
      </c>
    </row>
    <row r="54" spans="1:37" x14ac:dyDescent="0.25">
      <c r="A54" s="163">
        <v>46174</v>
      </c>
      <c r="B54" s="163">
        <v>46174</v>
      </c>
      <c r="C54">
        <v>3</v>
      </c>
      <c r="D54" t="s">
        <v>86</v>
      </c>
      <c r="E54">
        <v>31428</v>
      </c>
      <c r="G54">
        <v>1</v>
      </c>
      <c r="H54">
        <v>78018278</v>
      </c>
      <c r="I54" t="s">
        <v>111</v>
      </c>
      <c r="J54">
        <v>0</v>
      </c>
      <c r="K54">
        <v>0</v>
      </c>
      <c r="L54">
        <v>0</v>
      </c>
      <c r="M54">
        <v>0</v>
      </c>
      <c r="N54">
        <v>0</v>
      </c>
      <c r="O54">
        <v>7.5</v>
      </c>
      <c r="P54">
        <v>0</v>
      </c>
      <c r="Q54">
        <v>0</v>
      </c>
      <c r="R54">
        <v>0</v>
      </c>
      <c r="S54">
        <v>0</v>
      </c>
      <c r="T54">
        <v>0</v>
      </c>
      <c r="U54">
        <v>0</v>
      </c>
      <c r="V54">
        <v>7.5</v>
      </c>
      <c r="W54" t="s">
        <v>492</v>
      </c>
      <c r="AK54" t="s">
        <v>515</v>
      </c>
    </row>
    <row r="55" spans="1:37" x14ac:dyDescent="0.25">
      <c r="A55" s="163">
        <v>46179</v>
      </c>
      <c r="B55" s="163">
        <v>46179</v>
      </c>
      <c r="C55">
        <v>3</v>
      </c>
      <c r="D55" t="s">
        <v>86</v>
      </c>
      <c r="E55">
        <v>31516</v>
      </c>
      <c r="G55">
        <v>1</v>
      </c>
      <c r="H55">
        <v>20434020</v>
      </c>
      <c r="I55" t="s">
        <v>191</v>
      </c>
      <c r="J55">
        <v>0</v>
      </c>
      <c r="K55">
        <v>0</v>
      </c>
      <c r="L55">
        <v>0</v>
      </c>
      <c r="M55">
        <v>0</v>
      </c>
      <c r="N55">
        <v>0</v>
      </c>
      <c r="O55">
        <v>7</v>
      </c>
      <c r="P55">
        <v>0</v>
      </c>
      <c r="Q55">
        <v>0</v>
      </c>
      <c r="R55">
        <v>0</v>
      </c>
      <c r="S55">
        <v>0</v>
      </c>
      <c r="T55">
        <v>0</v>
      </c>
      <c r="U55">
        <v>0</v>
      </c>
      <c r="V55">
        <v>7</v>
      </c>
      <c r="W55" t="s">
        <v>492</v>
      </c>
      <c r="AK55" t="s">
        <v>599</v>
      </c>
    </row>
    <row r="56" spans="1:37" x14ac:dyDescent="0.25">
      <c r="A56" s="163">
        <v>46179</v>
      </c>
      <c r="B56" s="163">
        <v>46179</v>
      </c>
      <c r="C56">
        <v>3</v>
      </c>
      <c r="D56" t="s">
        <v>86</v>
      </c>
      <c r="E56">
        <v>31513</v>
      </c>
      <c r="G56">
        <v>1</v>
      </c>
      <c r="H56">
        <v>42092664</v>
      </c>
      <c r="I56" t="s">
        <v>944</v>
      </c>
      <c r="J56">
        <v>0</v>
      </c>
      <c r="K56">
        <v>0</v>
      </c>
      <c r="L56">
        <v>0</v>
      </c>
      <c r="M56">
        <v>0</v>
      </c>
      <c r="N56">
        <v>0</v>
      </c>
      <c r="O56">
        <v>9</v>
      </c>
      <c r="P56">
        <v>0</v>
      </c>
      <c r="Q56">
        <v>0</v>
      </c>
      <c r="R56">
        <v>0</v>
      </c>
      <c r="S56">
        <v>0</v>
      </c>
      <c r="T56">
        <v>0</v>
      </c>
      <c r="U56">
        <v>0</v>
      </c>
      <c r="V56">
        <v>9</v>
      </c>
      <c r="W56" t="s">
        <v>492</v>
      </c>
      <c r="AK56" t="s">
        <v>596</v>
      </c>
    </row>
    <row r="57" spans="1:37" x14ac:dyDescent="0.25">
      <c r="A57" s="163">
        <v>46174</v>
      </c>
      <c r="B57" s="163">
        <v>46174</v>
      </c>
      <c r="C57">
        <v>3</v>
      </c>
      <c r="D57" t="s">
        <v>86</v>
      </c>
      <c r="E57">
        <v>31416</v>
      </c>
      <c r="G57">
        <v>1</v>
      </c>
      <c r="H57">
        <v>43006405</v>
      </c>
      <c r="I57" t="s">
        <v>99</v>
      </c>
      <c r="J57">
        <v>0</v>
      </c>
      <c r="K57">
        <v>0</v>
      </c>
      <c r="L57">
        <v>0</v>
      </c>
      <c r="M57">
        <v>0</v>
      </c>
      <c r="N57">
        <v>0</v>
      </c>
      <c r="O57">
        <v>10</v>
      </c>
      <c r="P57">
        <v>0</v>
      </c>
      <c r="Q57">
        <v>0</v>
      </c>
      <c r="R57">
        <v>0</v>
      </c>
      <c r="S57">
        <v>0</v>
      </c>
      <c r="T57">
        <v>0</v>
      </c>
      <c r="U57">
        <v>0</v>
      </c>
      <c r="V57">
        <v>10</v>
      </c>
      <c r="W57" t="s">
        <v>492</v>
      </c>
      <c r="AK57" t="s">
        <v>503</v>
      </c>
    </row>
    <row r="58" spans="1:37" x14ac:dyDescent="0.25">
      <c r="A58" s="163">
        <v>46175</v>
      </c>
      <c r="B58" s="163">
        <v>46175</v>
      </c>
      <c r="C58">
        <v>3</v>
      </c>
      <c r="D58" t="s">
        <v>86</v>
      </c>
      <c r="E58">
        <v>31443</v>
      </c>
      <c r="G58">
        <v>1</v>
      </c>
      <c r="H58">
        <v>43804871</v>
      </c>
      <c r="I58" t="s">
        <v>125</v>
      </c>
      <c r="J58">
        <v>0</v>
      </c>
      <c r="K58">
        <v>0</v>
      </c>
      <c r="L58">
        <v>0</v>
      </c>
      <c r="M58">
        <v>0</v>
      </c>
      <c r="N58">
        <v>0</v>
      </c>
      <c r="O58">
        <v>50</v>
      </c>
      <c r="P58">
        <v>0</v>
      </c>
      <c r="Q58">
        <v>0</v>
      </c>
      <c r="R58">
        <v>0</v>
      </c>
      <c r="S58">
        <v>0</v>
      </c>
      <c r="T58">
        <v>0</v>
      </c>
      <c r="U58">
        <v>0</v>
      </c>
      <c r="V58">
        <v>50</v>
      </c>
      <c r="W58" t="s">
        <v>492</v>
      </c>
      <c r="AK58" t="s">
        <v>530</v>
      </c>
    </row>
    <row r="59" spans="1:37" x14ac:dyDescent="0.25">
      <c r="A59" s="163">
        <v>46174</v>
      </c>
      <c r="B59" s="163">
        <v>46174</v>
      </c>
      <c r="C59">
        <v>3</v>
      </c>
      <c r="D59" t="s">
        <v>86</v>
      </c>
      <c r="E59">
        <v>31425</v>
      </c>
      <c r="G59">
        <v>1</v>
      </c>
      <c r="H59">
        <v>47968389</v>
      </c>
      <c r="I59" t="s">
        <v>108</v>
      </c>
      <c r="J59">
        <v>0</v>
      </c>
      <c r="K59">
        <v>0</v>
      </c>
      <c r="L59">
        <v>0</v>
      </c>
      <c r="M59">
        <v>0</v>
      </c>
      <c r="N59">
        <v>0</v>
      </c>
      <c r="O59">
        <v>15</v>
      </c>
      <c r="P59">
        <v>0</v>
      </c>
      <c r="Q59">
        <v>0</v>
      </c>
      <c r="R59">
        <v>0</v>
      </c>
      <c r="S59">
        <v>0</v>
      </c>
      <c r="T59">
        <v>0</v>
      </c>
      <c r="U59">
        <v>0</v>
      </c>
      <c r="V59">
        <v>15</v>
      </c>
      <c r="W59" t="s">
        <v>492</v>
      </c>
      <c r="AK59" t="s">
        <v>512</v>
      </c>
    </row>
    <row r="60" spans="1:37" x14ac:dyDescent="0.25">
      <c r="A60" s="163">
        <v>46188</v>
      </c>
      <c r="B60" s="163">
        <v>46188</v>
      </c>
      <c r="C60">
        <v>3</v>
      </c>
      <c r="D60" t="s">
        <v>86</v>
      </c>
      <c r="E60">
        <v>31631</v>
      </c>
      <c r="G60">
        <v>1</v>
      </c>
      <c r="H60">
        <v>42409919</v>
      </c>
      <c r="I60" t="s">
        <v>283</v>
      </c>
      <c r="J60">
        <v>0</v>
      </c>
      <c r="K60">
        <v>0</v>
      </c>
      <c r="L60">
        <v>0</v>
      </c>
      <c r="M60">
        <v>0</v>
      </c>
      <c r="N60">
        <v>0</v>
      </c>
      <c r="O60">
        <v>50</v>
      </c>
      <c r="P60">
        <v>0</v>
      </c>
      <c r="Q60">
        <v>0</v>
      </c>
      <c r="R60">
        <v>0</v>
      </c>
      <c r="S60">
        <v>0</v>
      </c>
      <c r="T60">
        <v>0</v>
      </c>
      <c r="U60">
        <v>0</v>
      </c>
      <c r="V60">
        <v>50</v>
      </c>
      <c r="W60" t="s">
        <v>492</v>
      </c>
      <c r="AK60" t="s">
        <v>711</v>
      </c>
    </row>
    <row r="61" spans="1:37" x14ac:dyDescent="0.25">
      <c r="A61" s="163">
        <v>46195</v>
      </c>
      <c r="B61" s="163">
        <v>46195</v>
      </c>
      <c r="C61">
        <v>3</v>
      </c>
      <c r="D61" t="s">
        <v>86</v>
      </c>
      <c r="E61">
        <v>31723</v>
      </c>
      <c r="G61">
        <v>1</v>
      </c>
      <c r="H61">
        <v>20433528</v>
      </c>
      <c r="I61" t="s">
        <v>355</v>
      </c>
      <c r="J61">
        <v>0</v>
      </c>
      <c r="K61">
        <v>0</v>
      </c>
      <c r="L61">
        <v>0</v>
      </c>
      <c r="M61">
        <v>0</v>
      </c>
      <c r="N61">
        <v>0</v>
      </c>
      <c r="O61">
        <v>10</v>
      </c>
      <c r="P61">
        <v>0</v>
      </c>
      <c r="Q61">
        <v>0</v>
      </c>
      <c r="R61">
        <v>0</v>
      </c>
      <c r="S61">
        <v>0</v>
      </c>
      <c r="T61">
        <v>0</v>
      </c>
      <c r="U61">
        <v>0</v>
      </c>
      <c r="V61">
        <v>10</v>
      </c>
      <c r="W61" t="s">
        <v>492</v>
      </c>
      <c r="AK61" t="s">
        <v>802</v>
      </c>
    </row>
    <row r="62" spans="1:37" x14ac:dyDescent="0.25">
      <c r="A62" s="163">
        <v>46174</v>
      </c>
      <c r="B62" s="163">
        <v>46174</v>
      </c>
      <c r="C62">
        <v>3</v>
      </c>
      <c r="D62" t="s">
        <v>86</v>
      </c>
      <c r="E62">
        <v>31415</v>
      </c>
      <c r="G62">
        <v>1</v>
      </c>
      <c r="H62">
        <v>20416603</v>
      </c>
      <c r="I62" t="s">
        <v>98</v>
      </c>
      <c r="J62">
        <v>0</v>
      </c>
      <c r="K62">
        <v>0</v>
      </c>
      <c r="L62">
        <v>0</v>
      </c>
      <c r="M62">
        <v>0</v>
      </c>
      <c r="N62">
        <v>0</v>
      </c>
      <c r="O62">
        <v>130</v>
      </c>
      <c r="P62">
        <v>0</v>
      </c>
      <c r="Q62">
        <v>0</v>
      </c>
      <c r="R62">
        <v>0</v>
      </c>
      <c r="S62">
        <v>0</v>
      </c>
      <c r="T62">
        <v>0</v>
      </c>
      <c r="U62">
        <v>0</v>
      </c>
      <c r="V62">
        <v>130</v>
      </c>
      <c r="W62" t="s">
        <v>492</v>
      </c>
      <c r="AK62" t="s">
        <v>502</v>
      </c>
    </row>
    <row r="63" spans="1:37" x14ac:dyDescent="0.25">
      <c r="A63" s="163">
        <v>46175</v>
      </c>
      <c r="B63" s="163">
        <v>46175</v>
      </c>
      <c r="C63">
        <v>3</v>
      </c>
      <c r="D63" t="s">
        <v>86</v>
      </c>
      <c r="E63">
        <v>31442</v>
      </c>
      <c r="G63">
        <v>1</v>
      </c>
      <c r="H63">
        <v>74042094</v>
      </c>
      <c r="I63" t="s">
        <v>945</v>
      </c>
      <c r="J63">
        <v>0</v>
      </c>
      <c r="K63">
        <v>0</v>
      </c>
      <c r="L63">
        <v>0</v>
      </c>
      <c r="M63">
        <v>0</v>
      </c>
      <c r="N63">
        <v>0</v>
      </c>
      <c r="O63">
        <v>5</v>
      </c>
      <c r="P63">
        <v>0</v>
      </c>
      <c r="Q63">
        <v>0</v>
      </c>
      <c r="R63">
        <v>0</v>
      </c>
      <c r="S63">
        <v>0</v>
      </c>
      <c r="T63">
        <v>0</v>
      </c>
      <c r="U63">
        <v>0</v>
      </c>
      <c r="V63">
        <v>5</v>
      </c>
      <c r="W63" t="s">
        <v>492</v>
      </c>
      <c r="AK63" t="s">
        <v>529</v>
      </c>
    </row>
    <row r="64" spans="1:37" x14ac:dyDescent="0.25">
      <c r="A64" s="163">
        <v>46203</v>
      </c>
      <c r="B64" s="163">
        <v>46203</v>
      </c>
      <c r="C64">
        <v>3</v>
      </c>
      <c r="D64" t="s">
        <v>86</v>
      </c>
      <c r="E64">
        <v>31820</v>
      </c>
      <c r="G64">
        <v>1</v>
      </c>
      <c r="H64">
        <v>45333894</v>
      </c>
      <c r="I64" t="s">
        <v>432</v>
      </c>
      <c r="J64">
        <v>0</v>
      </c>
      <c r="K64">
        <v>0</v>
      </c>
      <c r="L64">
        <v>0</v>
      </c>
      <c r="M64">
        <v>0</v>
      </c>
      <c r="N64">
        <v>0</v>
      </c>
      <c r="O64">
        <v>158</v>
      </c>
      <c r="P64">
        <v>0</v>
      </c>
      <c r="Q64">
        <v>0</v>
      </c>
      <c r="R64">
        <v>0</v>
      </c>
      <c r="S64">
        <v>0</v>
      </c>
      <c r="T64">
        <v>0</v>
      </c>
      <c r="U64">
        <v>0</v>
      </c>
      <c r="V64">
        <v>158</v>
      </c>
      <c r="W64" t="s">
        <v>492</v>
      </c>
      <c r="AK64" t="s">
        <v>899</v>
      </c>
    </row>
    <row r="65" spans="1:37" x14ac:dyDescent="0.25">
      <c r="A65" s="163">
        <v>46179</v>
      </c>
      <c r="B65" s="163">
        <v>46179</v>
      </c>
      <c r="C65">
        <v>3</v>
      </c>
      <c r="D65" t="s">
        <v>86</v>
      </c>
      <c r="E65">
        <v>31518</v>
      </c>
      <c r="G65">
        <v>1</v>
      </c>
      <c r="H65">
        <v>20085100</v>
      </c>
      <c r="I65" t="s">
        <v>193</v>
      </c>
      <c r="J65">
        <v>0</v>
      </c>
      <c r="K65">
        <v>0</v>
      </c>
      <c r="L65">
        <v>0</v>
      </c>
      <c r="M65">
        <v>0</v>
      </c>
      <c r="N65">
        <v>0</v>
      </c>
      <c r="O65">
        <v>106.2</v>
      </c>
      <c r="P65">
        <v>0</v>
      </c>
      <c r="Q65">
        <v>0</v>
      </c>
      <c r="R65">
        <v>0</v>
      </c>
      <c r="S65">
        <v>0</v>
      </c>
      <c r="T65">
        <v>0</v>
      </c>
      <c r="U65">
        <v>0</v>
      </c>
      <c r="V65">
        <v>106.2</v>
      </c>
      <c r="W65" t="s">
        <v>492</v>
      </c>
      <c r="AK65" t="s">
        <v>600</v>
      </c>
    </row>
    <row r="66" spans="1:37" x14ac:dyDescent="0.25">
      <c r="A66" s="163">
        <v>46203</v>
      </c>
      <c r="B66" s="163">
        <v>46203</v>
      </c>
      <c r="C66">
        <v>3</v>
      </c>
      <c r="D66" t="s">
        <v>86</v>
      </c>
      <c r="E66">
        <v>31822</v>
      </c>
      <c r="G66">
        <v>1</v>
      </c>
      <c r="H66">
        <v>45535977</v>
      </c>
      <c r="I66" t="s">
        <v>433</v>
      </c>
      <c r="J66">
        <v>0</v>
      </c>
      <c r="K66">
        <v>0</v>
      </c>
      <c r="L66">
        <v>0</v>
      </c>
      <c r="M66">
        <v>0</v>
      </c>
      <c r="N66">
        <v>0</v>
      </c>
      <c r="O66">
        <v>90.7</v>
      </c>
      <c r="P66">
        <v>0</v>
      </c>
      <c r="Q66">
        <v>0</v>
      </c>
      <c r="R66">
        <v>0</v>
      </c>
      <c r="S66">
        <v>0</v>
      </c>
      <c r="T66">
        <v>0</v>
      </c>
      <c r="U66">
        <v>0</v>
      </c>
      <c r="V66">
        <v>90.7</v>
      </c>
      <c r="W66" t="s">
        <v>492</v>
      </c>
      <c r="AK66" t="s">
        <v>901</v>
      </c>
    </row>
    <row r="67" spans="1:37" x14ac:dyDescent="0.25">
      <c r="A67" s="163">
        <v>46195</v>
      </c>
      <c r="B67" s="163">
        <v>46195</v>
      </c>
      <c r="C67">
        <v>3</v>
      </c>
      <c r="D67" t="s">
        <v>86</v>
      </c>
      <c r="E67">
        <v>31727</v>
      </c>
      <c r="G67">
        <v>1</v>
      </c>
      <c r="H67">
        <v>41456680</v>
      </c>
      <c r="I67" t="s">
        <v>358</v>
      </c>
      <c r="J67">
        <v>0</v>
      </c>
      <c r="K67">
        <v>0</v>
      </c>
      <c r="L67">
        <v>0</v>
      </c>
      <c r="M67">
        <v>0</v>
      </c>
      <c r="N67">
        <v>0</v>
      </c>
      <c r="O67">
        <v>73.400000000000006</v>
      </c>
      <c r="P67">
        <v>0</v>
      </c>
      <c r="Q67">
        <v>0</v>
      </c>
      <c r="R67">
        <v>0</v>
      </c>
      <c r="S67">
        <v>0</v>
      </c>
      <c r="T67">
        <v>0</v>
      </c>
      <c r="U67">
        <v>0</v>
      </c>
      <c r="V67">
        <v>73.400000000000006</v>
      </c>
      <c r="W67" t="s">
        <v>492</v>
      </c>
      <c r="AK67" t="s">
        <v>806</v>
      </c>
    </row>
    <row r="68" spans="1:37" x14ac:dyDescent="0.25">
      <c r="A68" s="163">
        <v>46195</v>
      </c>
      <c r="B68" s="163">
        <v>46195</v>
      </c>
      <c r="C68">
        <v>3</v>
      </c>
      <c r="D68" t="s">
        <v>86</v>
      </c>
      <c r="E68">
        <v>31725</v>
      </c>
      <c r="G68">
        <v>1</v>
      </c>
      <c r="H68">
        <v>74139047</v>
      </c>
      <c r="I68" t="s">
        <v>206</v>
      </c>
      <c r="J68">
        <v>0</v>
      </c>
      <c r="K68">
        <v>0</v>
      </c>
      <c r="L68">
        <v>0</v>
      </c>
      <c r="M68">
        <v>0</v>
      </c>
      <c r="N68">
        <v>0</v>
      </c>
      <c r="O68">
        <v>9.6999999999999993</v>
      </c>
      <c r="P68">
        <v>0</v>
      </c>
      <c r="Q68">
        <v>0</v>
      </c>
      <c r="R68">
        <v>0</v>
      </c>
      <c r="S68">
        <v>0</v>
      </c>
      <c r="T68">
        <v>0</v>
      </c>
      <c r="U68">
        <v>0</v>
      </c>
      <c r="V68">
        <v>9.6999999999999993</v>
      </c>
      <c r="W68" t="s">
        <v>492</v>
      </c>
      <c r="AK68" t="s">
        <v>804</v>
      </c>
    </row>
    <row r="69" spans="1:37" x14ac:dyDescent="0.25">
      <c r="A69" s="163">
        <v>46175</v>
      </c>
      <c r="B69" s="163">
        <v>46175</v>
      </c>
      <c r="C69">
        <v>3</v>
      </c>
      <c r="D69" t="s">
        <v>86</v>
      </c>
      <c r="E69">
        <v>31431</v>
      </c>
      <c r="G69">
        <v>1</v>
      </c>
      <c r="H69">
        <v>16535704</v>
      </c>
      <c r="I69" t="s">
        <v>114</v>
      </c>
      <c r="J69">
        <v>0</v>
      </c>
      <c r="K69">
        <v>0</v>
      </c>
      <c r="L69">
        <v>0</v>
      </c>
      <c r="M69">
        <v>0</v>
      </c>
      <c r="N69">
        <v>0</v>
      </c>
      <c r="O69">
        <v>18.3</v>
      </c>
      <c r="P69">
        <v>0</v>
      </c>
      <c r="Q69">
        <v>0</v>
      </c>
      <c r="R69">
        <v>0</v>
      </c>
      <c r="S69">
        <v>0</v>
      </c>
      <c r="T69">
        <v>0</v>
      </c>
      <c r="U69">
        <v>0</v>
      </c>
      <c r="V69">
        <v>18.3</v>
      </c>
      <c r="W69" t="s">
        <v>492</v>
      </c>
      <c r="AK69" t="s">
        <v>518</v>
      </c>
    </row>
    <row r="70" spans="1:37" x14ac:dyDescent="0.25">
      <c r="A70" s="163">
        <v>46186</v>
      </c>
      <c r="B70" s="163">
        <v>46186</v>
      </c>
      <c r="C70">
        <v>3</v>
      </c>
      <c r="D70" t="s">
        <v>86</v>
      </c>
      <c r="E70">
        <v>31615</v>
      </c>
      <c r="G70">
        <v>1</v>
      </c>
      <c r="H70">
        <v>48142316</v>
      </c>
      <c r="I70" t="s">
        <v>275</v>
      </c>
      <c r="J70">
        <v>0</v>
      </c>
      <c r="K70">
        <v>0</v>
      </c>
      <c r="L70">
        <v>0</v>
      </c>
      <c r="M70">
        <v>0</v>
      </c>
      <c r="N70">
        <v>0</v>
      </c>
      <c r="O70">
        <v>7.5</v>
      </c>
      <c r="P70">
        <v>0</v>
      </c>
      <c r="Q70">
        <v>0</v>
      </c>
      <c r="R70">
        <v>0</v>
      </c>
      <c r="S70">
        <v>0</v>
      </c>
      <c r="T70">
        <v>0</v>
      </c>
      <c r="U70">
        <v>0</v>
      </c>
      <c r="V70">
        <v>7.5</v>
      </c>
      <c r="W70" t="s">
        <v>492</v>
      </c>
      <c r="AK70" t="s">
        <v>698</v>
      </c>
    </row>
    <row r="71" spans="1:37" x14ac:dyDescent="0.25">
      <c r="A71" s="163">
        <v>46174</v>
      </c>
      <c r="B71" s="163">
        <v>46174</v>
      </c>
      <c r="C71">
        <v>3</v>
      </c>
      <c r="D71" t="s">
        <v>86</v>
      </c>
      <c r="E71">
        <v>31430</v>
      </c>
      <c r="G71">
        <v>1</v>
      </c>
      <c r="H71">
        <v>44362098</v>
      </c>
      <c r="I71" t="s">
        <v>113</v>
      </c>
      <c r="J71">
        <v>0</v>
      </c>
      <c r="K71">
        <v>0</v>
      </c>
      <c r="L71">
        <v>0</v>
      </c>
      <c r="M71">
        <v>0</v>
      </c>
      <c r="N71">
        <v>0</v>
      </c>
      <c r="O71">
        <v>11</v>
      </c>
      <c r="P71">
        <v>0</v>
      </c>
      <c r="Q71">
        <v>0</v>
      </c>
      <c r="R71">
        <v>0</v>
      </c>
      <c r="S71">
        <v>0</v>
      </c>
      <c r="T71">
        <v>0</v>
      </c>
      <c r="U71">
        <v>0</v>
      </c>
      <c r="V71">
        <v>11</v>
      </c>
      <c r="W71" t="s">
        <v>492</v>
      </c>
      <c r="AK71" t="s">
        <v>517</v>
      </c>
    </row>
    <row r="72" spans="1:37" x14ac:dyDescent="0.25">
      <c r="A72" s="163">
        <v>46186</v>
      </c>
      <c r="B72" s="163">
        <v>46186</v>
      </c>
      <c r="C72">
        <v>3</v>
      </c>
      <c r="D72" t="s">
        <v>86</v>
      </c>
      <c r="E72">
        <v>31614</v>
      </c>
      <c r="G72">
        <v>1</v>
      </c>
      <c r="H72">
        <v>73783617</v>
      </c>
      <c r="I72" t="s">
        <v>271</v>
      </c>
      <c r="J72">
        <v>0</v>
      </c>
      <c r="K72">
        <v>0</v>
      </c>
      <c r="L72">
        <v>0</v>
      </c>
      <c r="M72">
        <v>0</v>
      </c>
      <c r="N72">
        <v>0</v>
      </c>
      <c r="O72">
        <v>6.7</v>
      </c>
      <c r="P72">
        <v>0</v>
      </c>
      <c r="Q72">
        <v>0</v>
      </c>
      <c r="R72">
        <v>0</v>
      </c>
      <c r="S72">
        <v>0</v>
      </c>
      <c r="T72">
        <v>0</v>
      </c>
      <c r="U72">
        <v>0</v>
      </c>
      <c r="V72">
        <v>6.7</v>
      </c>
      <c r="W72" t="s">
        <v>492</v>
      </c>
      <c r="AK72" t="s">
        <v>694</v>
      </c>
    </row>
    <row r="73" spans="1:37" x14ac:dyDescent="0.25">
      <c r="A73" s="163">
        <v>46174</v>
      </c>
      <c r="B73" s="163">
        <v>46174</v>
      </c>
      <c r="C73">
        <v>3</v>
      </c>
      <c r="D73" t="s">
        <v>86</v>
      </c>
      <c r="E73">
        <v>31420</v>
      </c>
      <c r="G73">
        <v>1</v>
      </c>
      <c r="H73">
        <v>19988801</v>
      </c>
      <c r="I73" t="s">
        <v>103</v>
      </c>
      <c r="J73">
        <v>0</v>
      </c>
      <c r="K73">
        <v>0</v>
      </c>
      <c r="L73">
        <v>0</v>
      </c>
      <c r="M73">
        <v>0</v>
      </c>
      <c r="N73">
        <v>0</v>
      </c>
      <c r="O73">
        <v>12.5</v>
      </c>
      <c r="P73">
        <v>0</v>
      </c>
      <c r="Q73">
        <v>0</v>
      </c>
      <c r="R73">
        <v>0</v>
      </c>
      <c r="S73">
        <v>0</v>
      </c>
      <c r="T73">
        <v>0</v>
      </c>
      <c r="U73">
        <v>0</v>
      </c>
      <c r="V73">
        <v>12.5</v>
      </c>
      <c r="W73" t="s">
        <v>492</v>
      </c>
      <c r="AK73" t="s">
        <v>507</v>
      </c>
    </row>
    <row r="74" spans="1:37" x14ac:dyDescent="0.25">
      <c r="A74" s="163">
        <v>46174</v>
      </c>
      <c r="B74" s="163">
        <v>46174</v>
      </c>
      <c r="C74">
        <v>3</v>
      </c>
      <c r="D74" t="s">
        <v>86</v>
      </c>
      <c r="E74">
        <v>31427</v>
      </c>
      <c r="G74">
        <v>1</v>
      </c>
      <c r="H74">
        <v>71978619</v>
      </c>
      <c r="I74" t="s">
        <v>110</v>
      </c>
      <c r="J74">
        <v>0</v>
      </c>
      <c r="K74">
        <v>0</v>
      </c>
      <c r="L74">
        <v>0</v>
      </c>
      <c r="M74">
        <v>0</v>
      </c>
      <c r="N74">
        <v>0</v>
      </c>
      <c r="O74">
        <v>73.5</v>
      </c>
      <c r="P74">
        <v>0</v>
      </c>
      <c r="Q74">
        <v>0</v>
      </c>
      <c r="R74">
        <v>0</v>
      </c>
      <c r="S74">
        <v>0</v>
      </c>
      <c r="T74">
        <v>0</v>
      </c>
      <c r="U74">
        <v>0</v>
      </c>
      <c r="V74">
        <v>73.5</v>
      </c>
      <c r="W74" t="s">
        <v>492</v>
      </c>
      <c r="AK74" t="s">
        <v>514</v>
      </c>
    </row>
    <row r="75" spans="1:37" x14ac:dyDescent="0.25">
      <c r="A75" s="163">
        <v>46200</v>
      </c>
      <c r="B75" s="163">
        <v>46200</v>
      </c>
      <c r="C75">
        <v>3</v>
      </c>
      <c r="D75" t="s">
        <v>86</v>
      </c>
      <c r="E75">
        <v>31817</v>
      </c>
      <c r="G75">
        <v>1</v>
      </c>
      <c r="H75">
        <v>40816816</v>
      </c>
      <c r="I75" t="s">
        <v>239</v>
      </c>
      <c r="J75">
        <v>0</v>
      </c>
      <c r="K75">
        <v>0</v>
      </c>
      <c r="L75">
        <v>0</v>
      </c>
      <c r="M75">
        <v>0</v>
      </c>
      <c r="N75">
        <v>0</v>
      </c>
      <c r="O75">
        <v>30</v>
      </c>
      <c r="P75">
        <v>0</v>
      </c>
      <c r="Q75">
        <v>0</v>
      </c>
      <c r="R75">
        <v>0</v>
      </c>
      <c r="S75">
        <v>0</v>
      </c>
      <c r="T75">
        <v>0</v>
      </c>
      <c r="U75">
        <v>0</v>
      </c>
      <c r="V75">
        <v>30</v>
      </c>
      <c r="W75" t="s">
        <v>492</v>
      </c>
      <c r="AK75" t="s">
        <v>896</v>
      </c>
    </row>
    <row r="76" spans="1:37" x14ac:dyDescent="0.25">
      <c r="A76" s="163">
        <v>46200</v>
      </c>
      <c r="B76" s="163">
        <v>46200</v>
      </c>
      <c r="C76">
        <v>3</v>
      </c>
      <c r="D76" t="s">
        <v>86</v>
      </c>
      <c r="E76">
        <v>31819</v>
      </c>
      <c r="G76">
        <v>1</v>
      </c>
      <c r="H76">
        <v>77085069</v>
      </c>
      <c r="I76" t="s">
        <v>431</v>
      </c>
      <c r="J76">
        <v>0</v>
      </c>
      <c r="K76">
        <v>0</v>
      </c>
      <c r="L76">
        <v>0</v>
      </c>
      <c r="M76">
        <v>0</v>
      </c>
      <c r="N76">
        <v>0</v>
      </c>
      <c r="O76">
        <v>25</v>
      </c>
      <c r="P76">
        <v>0</v>
      </c>
      <c r="Q76">
        <v>0</v>
      </c>
      <c r="R76">
        <v>0</v>
      </c>
      <c r="S76">
        <v>0</v>
      </c>
      <c r="T76">
        <v>0</v>
      </c>
      <c r="U76">
        <v>0</v>
      </c>
      <c r="V76">
        <v>25</v>
      </c>
      <c r="W76" t="s">
        <v>492</v>
      </c>
      <c r="AK76" t="s">
        <v>898</v>
      </c>
    </row>
    <row r="77" spans="1:37" x14ac:dyDescent="0.25">
      <c r="A77" s="163">
        <v>46179</v>
      </c>
      <c r="B77" s="163">
        <v>46179</v>
      </c>
      <c r="C77">
        <v>3</v>
      </c>
      <c r="D77" t="s">
        <v>86</v>
      </c>
      <c r="E77">
        <v>31515</v>
      </c>
      <c r="G77">
        <v>1</v>
      </c>
      <c r="H77">
        <v>46033554</v>
      </c>
      <c r="I77" t="s">
        <v>190</v>
      </c>
      <c r="J77">
        <v>0</v>
      </c>
      <c r="K77">
        <v>0</v>
      </c>
      <c r="L77">
        <v>0</v>
      </c>
      <c r="M77">
        <v>0</v>
      </c>
      <c r="N77">
        <v>0</v>
      </c>
      <c r="O77">
        <v>10</v>
      </c>
      <c r="P77">
        <v>0</v>
      </c>
      <c r="Q77">
        <v>0</v>
      </c>
      <c r="R77">
        <v>0</v>
      </c>
      <c r="S77">
        <v>0</v>
      </c>
      <c r="T77">
        <v>0</v>
      </c>
      <c r="U77">
        <v>0</v>
      </c>
      <c r="V77">
        <v>10</v>
      </c>
      <c r="W77" t="s">
        <v>492</v>
      </c>
      <c r="AK77" t="s">
        <v>598</v>
      </c>
    </row>
    <row r="78" spans="1:37" x14ac:dyDescent="0.25">
      <c r="A78" s="163">
        <v>46175</v>
      </c>
      <c r="B78" s="163">
        <v>46175</v>
      </c>
      <c r="C78">
        <v>3</v>
      </c>
      <c r="D78" t="s">
        <v>86</v>
      </c>
      <c r="E78">
        <v>31432</v>
      </c>
      <c r="G78">
        <v>6</v>
      </c>
      <c r="H78">
        <v>20613215051</v>
      </c>
      <c r="I78" t="s">
        <v>115</v>
      </c>
      <c r="J78">
        <v>0</v>
      </c>
      <c r="K78">
        <v>0</v>
      </c>
      <c r="L78">
        <v>0</v>
      </c>
      <c r="M78">
        <v>0</v>
      </c>
      <c r="N78">
        <v>0</v>
      </c>
      <c r="O78">
        <v>5</v>
      </c>
      <c r="P78">
        <v>0</v>
      </c>
      <c r="Q78">
        <v>0</v>
      </c>
      <c r="R78">
        <v>0</v>
      </c>
      <c r="S78">
        <v>0</v>
      </c>
      <c r="T78">
        <v>0</v>
      </c>
      <c r="U78">
        <v>0</v>
      </c>
      <c r="V78">
        <v>5</v>
      </c>
      <c r="W78" t="s">
        <v>492</v>
      </c>
      <c r="AK78" t="s">
        <v>519</v>
      </c>
    </row>
    <row r="79" spans="1:37" x14ac:dyDescent="0.25">
      <c r="A79" s="163">
        <v>46174</v>
      </c>
      <c r="B79" s="163">
        <v>46174</v>
      </c>
      <c r="C79">
        <v>3</v>
      </c>
      <c r="D79" t="s">
        <v>86</v>
      </c>
      <c r="E79">
        <v>31414</v>
      </c>
      <c r="G79">
        <v>1</v>
      </c>
      <c r="H79">
        <v>47791464</v>
      </c>
      <c r="I79" t="s">
        <v>97</v>
      </c>
      <c r="J79">
        <v>0</v>
      </c>
      <c r="K79">
        <v>0</v>
      </c>
      <c r="L79">
        <v>0</v>
      </c>
      <c r="M79">
        <v>0</v>
      </c>
      <c r="N79">
        <v>0</v>
      </c>
      <c r="O79">
        <v>11.5</v>
      </c>
      <c r="P79">
        <v>0</v>
      </c>
      <c r="Q79">
        <v>0</v>
      </c>
      <c r="R79">
        <v>0</v>
      </c>
      <c r="S79">
        <v>0</v>
      </c>
      <c r="T79">
        <v>0</v>
      </c>
      <c r="U79">
        <v>0</v>
      </c>
      <c r="V79">
        <v>11.5</v>
      </c>
      <c r="W79" t="s">
        <v>492</v>
      </c>
      <c r="AK79" t="s">
        <v>501</v>
      </c>
    </row>
    <row r="80" spans="1:37" x14ac:dyDescent="0.25">
      <c r="A80" s="163">
        <v>46174</v>
      </c>
      <c r="B80" s="163">
        <v>46174</v>
      </c>
      <c r="C80">
        <v>3</v>
      </c>
      <c r="D80" t="s">
        <v>86</v>
      </c>
      <c r="E80">
        <v>31417</v>
      </c>
      <c r="G80">
        <v>1</v>
      </c>
      <c r="H80">
        <v>19929072</v>
      </c>
      <c r="I80" t="s">
        <v>940</v>
      </c>
      <c r="J80">
        <v>0</v>
      </c>
      <c r="K80">
        <v>0</v>
      </c>
      <c r="L80">
        <v>0</v>
      </c>
      <c r="M80">
        <v>0</v>
      </c>
      <c r="N80">
        <v>0</v>
      </c>
      <c r="O80">
        <v>9</v>
      </c>
      <c r="P80">
        <v>0</v>
      </c>
      <c r="Q80">
        <v>0</v>
      </c>
      <c r="R80">
        <v>0</v>
      </c>
      <c r="S80">
        <v>0</v>
      </c>
      <c r="T80">
        <v>0</v>
      </c>
      <c r="U80">
        <v>0</v>
      </c>
      <c r="V80">
        <v>9</v>
      </c>
      <c r="W80" t="s">
        <v>492</v>
      </c>
      <c r="AK80" t="s">
        <v>504</v>
      </c>
    </row>
    <row r="81" spans="1:37" x14ac:dyDescent="0.25">
      <c r="A81" s="163">
        <v>46203</v>
      </c>
      <c r="B81" s="163">
        <v>46203</v>
      </c>
      <c r="C81">
        <v>3</v>
      </c>
      <c r="D81" t="s">
        <v>86</v>
      </c>
      <c r="E81">
        <v>31821</v>
      </c>
      <c r="G81">
        <v>6</v>
      </c>
      <c r="H81">
        <v>20603590687</v>
      </c>
      <c r="I81" t="s">
        <v>137</v>
      </c>
      <c r="J81">
        <v>0</v>
      </c>
      <c r="K81">
        <v>0</v>
      </c>
      <c r="L81">
        <v>0</v>
      </c>
      <c r="M81">
        <v>0</v>
      </c>
      <c r="N81">
        <v>0</v>
      </c>
      <c r="O81">
        <v>205</v>
      </c>
      <c r="P81">
        <v>0</v>
      </c>
      <c r="Q81">
        <v>0</v>
      </c>
      <c r="R81">
        <v>0</v>
      </c>
      <c r="S81">
        <v>0</v>
      </c>
      <c r="T81">
        <v>0</v>
      </c>
      <c r="U81">
        <v>0</v>
      </c>
      <c r="V81">
        <v>205</v>
      </c>
      <c r="W81" t="s">
        <v>492</v>
      </c>
      <c r="AK81" t="s">
        <v>900</v>
      </c>
    </row>
    <row r="82" spans="1:37" x14ac:dyDescent="0.25">
      <c r="A82" s="163">
        <v>46203</v>
      </c>
      <c r="B82" s="163">
        <v>46203</v>
      </c>
      <c r="C82">
        <v>3</v>
      </c>
      <c r="D82" t="s">
        <v>86</v>
      </c>
      <c r="E82">
        <v>31824</v>
      </c>
      <c r="G82">
        <v>1</v>
      </c>
      <c r="H82">
        <v>73204590</v>
      </c>
      <c r="I82" t="s">
        <v>435</v>
      </c>
      <c r="J82">
        <v>0</v>
      </c>
      <c r="K82">
        <v>0</v>
      </c>
      <c r="L82">
        <v>0</v>
      </c>
      <c r="M82">
        <v>0</v>
      </c>
      <c r="N82">
        <v>0</v>
      </c>
      <c r="O82">
        <v>30</v>
      </c>
      <c r="P82">
        <v>0</v>
      </c>
      <c r="Q82">
        <v>0</v>
      </c>
      <c r="R82">
        <v>0</v>
      </c>
      <c r="S82">
        <v>0</v>
      </c>
      <c r="T82">
        <v>0</v>
      </c>
      <c r="U82">
        <v>0</v>
      </c>
      <c r="V82">
        <v>30</v>
      </c>
      <c r="W82" t="s">
        <v>492</v>
      </c>
      <c r="AK82" t="s">
        <v>903</v>
      </c>
    </row>
    <row r="83" spans="1:37" x14ac:dyDescent="0.25">
      <c r="A83" s="163">
        <v>46174</v>
      </c>
      <c r="B83" s="163">
        <v>46174</v>
      </c>
      <c r="C83">
        <v>3</v>
      </c>
      <c r="D83" t="s">
        <v>86</v>
      </c>
      <c r="E83">
        <v>31429</v>
      </c>
      <c r="G83">
        <v>1</v>
      </c>
      <c r="H83">
        <v>73959872</v>
      </c>
      <c r="I83" t="s">
        <v>112</v>
      </c>
      <c r="J83">
        <v>0</v>
      </c>
      <c r="K83">
        <v>0</v>
      </c>
      <c r="L83">
        <v>0</v>
      </c>
      <c r="M83">
        <v>0</v>
      </c>
      <c r="N83">
        <v>0</v>
      </c>
      <c r="O83">
        <v>10</v>
      </c>
      <c r="P83">
        <v>0</v>
      </c>
      <c r="Q83">
        <v>0</v>
      </c>
      <c r="R83">
        <v>0</v>
      </c>
      <c r="S83">
        <v>0</v>
      </c>
      <c r="T83">
        <v>0</v>
      </c>
      <c r="U83">
        <v>0</v>
      </c>
      <c r="V83">
        <v>10</v>
      </c>
      <c r="W83" t="s">
        <v>492</v>
      </c>
      <c r="AK83" t="s">
        <v>516</v>
      </c>
    </row>
    <row r="84" spans="1:37" x14ac:dyDescent="0.25">
      <c r="A84" s="163">
        <v>46196</v>
      </c>
      <c r="B84" s="163">
        <v>46196</v>
      </c>
      <c r="C84">
        <v>3</v>
      </c>
      <c r="D84" t="s">
        <v>86</v>
      </c>
      <c r="E84">
        <v>31743</v>
      </c>
      <c r="G84">
        <v>1</v>
      </c>
      <c r="H84">
        <v>41273859</v>
      </c>
      <c r="I84" t="s">
        <v>367</v>
      </c>
      <c r="J84">
        <v>0</v>
      </c>
      <c r="K84">
        <v>0</v>
      </c>
      <c r="L84">
        <v>0</v>
      </c>
      <c r="M84">
        <v>0</v>
      </c>
      <c r="N84">
        <v>0</v>
      </c>
      <c r="O84">
        <v>8.1999999999999993</v>
      </c>
      <c r="P84">
        <v>0</v>
      </c>
      <c r="Q84">
        <v>0</v>
      </c>
      <c r="R84">
        <v>0</v>
      </c>
      <c r="S84">
        <v>0</v>
      </c>
      <c r="T84">
        <v>0</v>
      </c>
      <c r="U84">
        <v>0</v>
      </c>
      <c r="V84">
        <v>8.1999999999999993</v>
      </c>
      <c r="W84" t="s">
        <v>492</v>
      </c>
      <c r="AK84" t="s">
        <v>823</v>
      </c>
    </row>
    <row r="85" spans="1:37" x14ac:dyDescent="0.25">
      <c r="A85" s="163">
        <v>46203</v>
      </c>
      <c r="B85" s="163">
        <v>46203</v>
      </c>
      <c r="C85">
        <v>3</v>
      </c>
      <c r="D85" t="s">
        <v>86</v>
      </c>
      <c r="E85">
        <v>31826</v>
      </c>
      <c r="G85">
        <v>1</v>
      </c>
      <c r="H85">
        <v>19825066</v>
      </c>
      <c r="I85" t="s">
        <v>437</v>
      </c>
      <c r="J85">
        <v>0</v>
      </c>
      <c r="K85">
        <v>0</v>
      </c>
      <c r="L85">
        <v>0</v>
      </c>
      <c r="M85">
        <v>0</v>
      </c>
      <c r="N85">
        <v>0</v>
      </c>
      <c r="O85">
        <v>15</v>
      </c>
      <c r="P85">
        <v>0</v>
      </c>
      <c r="Q85">
        <v>0</v>
      </c>
      <c r="R85">
        <v>0</v>
      </c>
      <c r="S85">
        <v>0</v>
      </c>
      <c r="T85">
        <v>0</v>
      </c>
      <c r="U85">
        <v>0</v>
      </c>
      <c r="V85">
        <v>15</v>
      </c>
      <c r="W85" t="s">
        <v>492</v>
      </c>
      <c r="AK85" t="s">
        <v>905</v>
      </c>
    </row>
    <row r="86" spans="1:37" x14ac:dyDescent="0.25">
      <c r="A86" s="163">
        <v>46179</v>
      </c>
      <c r="B86" s="163">
        <v>46179</v>
      </c>
      <c r="C86">
        <v>3</v>
      </c>
      <c r="D86" t="s">
        <v>86</v>
      </c>
      <c r="E86">
        <v>31519</v>
      </c>
      <c r="G86">
        <v>1</v>
      </c>
      <c r="H86">
        <v>70380157</v>
      </c>
      <c r="I86" t="s">
        <v>194</v>
      </c>
      <c r="J86">
        <v>0</v>
      </c>
      <c r="K86">
        <v>0</v>
      </c>
      <c r="L86">
        <v>0</v>
      </c>
      <c r="M86">
        <v>0</v>
      </c>
      <c r="N86">
        <v>0</v>
      </c>
      <c r="O86">
        <v>55.7</v>
      </c>
      <c r="P86">
        <v>0</v>
      </c>
      <c r="Q86">
        <v>0</v>
      </c>
      <c r="R86">
        <v>0</v>
      </c>
      <c r="S86">
        <v>0</v>
      </c>
      <c r="T86">
        <v>0</v>
      </c>
      <c r="U86">
        <v>0</v>
      </c>
      <c r="V86">
        <v>55.7</v>
      </c>
      <c r="W86" t="s">
        <v>492</v>
      </c>
      <c r="AK86" t="s">
        <v>601</v>
      </c>
    </row>
    <row r="87" spans="1:37" x14ac:dyDescent="0.25">
      <c r="A87" s="163">
        <v>46203</v>
      </c>
      <c r="B87" s="163">
        <v>46203</v>
      </c>
      <c r="C87">
        <v>3</v>
      </c>
      <c r="D87" t="s">
        <v>86</v>
      </c>
      <c r="E87">
        <v>31823</v>
      </c>
      <c r="G87">
        <v>1</v>
      </c>
      <c r="H87">
        <v>49093280</v>
      </c>
      <c r="I87" t="s">
        <v>434</v>
      </c>
      <c r="J87">
        <v>0</v>
      </c>
      <c r="K87">
        <v>0</v>
      </c>
      <c r="L87">
        <v>0</v>
      </c>
      <c r="M87">
        <v>0</v>
      </c>
      <c r="N87">
        <v>0</v>
      </c>
      <c r="O87">
        <v>15</v>
      </c>
      <c r="P87">
        <v>0</v>
      </c>
      <c r="Q87">
        <v>0</v>
      </c>
      <c r="R87">
        <v>0</v>
      </c>
      <c r="S87">
        <v>0</v>
      </c>
      <c r="T87">
        <v>0</v>
      </c>
      <c r="U87">
        <v>0</v>
      </c>
      <c r="V87">
        <v>15</v>
      </c>
      <c r="W87" t="s">
        <v>492</v>
      </c>
      <c r="AK87" t="s">
        <v>902</v>
      </c>
    </row>
    <row r="88" spans="1:37" x14ac:dyDescent="0.25">
      <c r="A88" s="163">
        <v>46174</v>
      </c>
      <c r="B88" s="163">
        <v>46174</v>
      </c>
      <c r="C88">
        <v>3</v>
      </c>
      <c r="D88" t="s">
        <v>86</v>
      </c>
      <c r="E88">
        <v>31418</v>
      </c>
      <c r="G88">
        <v>1</v>
      </c>
      <c r="H88">
        <v>40659315</v>
      </c>
      <c r="I88" t="s">
        <v>101</v>
      </c>
      <c r="J88">
        <v>0</v>
      </c>
      <c r="K88">
        <v>0</v>
      </c>
      <c r="L88">
        <v>0</v>
      </c>
      <c r="M88">
        <v>0</v>
      </c>
      <c r="N88">
        <v>0</v>
      </c>
      <c r="O88">
        <v>7.1</v>
      </c>
      <c r="P88">
        <v>0</v>
      </c>
      <c r="Q88">
        <v>0</v>
      </c>
      <c r="R88">
        <v>0</v>
      </c>
      <c r="S88">
        <v>0</v>
      </c>
      <c r="T88">
        <v>0</v>
      </c>
      <c r="U88">
        <v>0</v>
      </c>
      <c r="V88">
        <v>7.1</v>
      </c>
      <c r="W88" t="s">
        <v>492</v>
      </c>
      <c r="AK88" t="s">
        <v>505</v>
      </c>
    </row>
    <row r="89" spans="1:37" x14ac:dyDescent="0.25">
      <c r="A89" s="163">
        <v>46200</v>
      </c>
      <c r="B89" s="163">
        <v>46200</v>
      </c>
      <c r="C89">
        <v>3</v>
      </c>
      <c r="D89" t="s">
        <v>86</v>
      </c>
      <c r="E89">
        <v>31809</v>
      </c>
      <c r="G89">
        <v>1</v>
      </c>
      <c r="H89">
        <v>47447219</v>
      </c>
      <c r="I89" t="s">
        <v>127</v>
      </c>
      <c r="J89">
        <v>0</v>
      </c>
      <c r="K89">
        <v>0</v>
      </c>
      <c r="L89">
        <v>0</v>
      </c>
      <c r="M89">
        <v>0</v>
      </c>
      <c r="N89">
        <v>0</v>
      </c>
      <c r="O89">
        <v>20</v>
      </c>
      <c r="P89">
        <v>0</v>
      </c>
      <c r="Q89">
        <v>0</v>
      </c>
      <c r="R89">
        <v>0</v>
      </c>
      <c r="S89">
        <v>0</v>
      </c>
      <c r="T89">
        <v>0</v>
      </c>
      <c r="U89">
        <v>0</v>
      </c>
      <c r="V89">
        <v>20</v>
      </c>
      <c r="W89" t="s">
        <v>492</v>
      </c>
      <c r="AK89" t="s">
        <v>888</v>
      </c>
    </row>
    <row r="90" spans="1:37" x14ac:dyDescent="0.25">
      <c r="A90" s="163">
        <v>46193</v>
      </c>
      <c r="B90" s="163">
        <v>46193</v>
      </c>
      <c r="C90">
        <v>3</v>
      </c>
      <c r="D90" t="s">
        <v>86</v>
      </c>
      <c r="E90">
        <v>31708</v>
      </c>
      <c r="G90">
        <v>1</v>
      </c>
      <c r="H90">
        <v>31920482</v>
      </c>
      <c r="I90" t="s">
        <v>343</v>
      </c>
      <c r="J90">
        <v>0</v>
      </c>
      <c r="K90">
        <v>0</v>
      </c>
      <c r="L90">
        <v>0</v>
      </c>
      <c r="M90">
        <v>0</v>
      </c>
      <c r="N90">
        <v>0</v>
      </c>
      <c r="O90">
        <v>77.599999999999994</v>
      </c>
      <c r="P90">
        <v>0</v>
      </c>
      <c r="Q90">
        <v>0</v>
      </c>
      <c r="R90">
        <v>0</v>
      </c>
      <c r="S90">
        <v>0</v>
      </c>
      <c r="T90">
        <v>0</v>
      </c>
      <c r="U90">
        <v>0</v>
      </c>
      <c r="V90">
        <v>77.599999999999994</v>
      </c>
      <c r="W90" t="s">
        <v>492</v>
      </c>
      <c r="AK90" t="s">
        <v>787</v>
      </c>
    </row>
    <row r="91" spans="1:37" x14ac:dyDescent="0.25">
      <c r="A91" s="163">
        <v>46179</v>
      </c>
      <c r="B91" s="163">
        <v>46179</v>
      </c>
      <c r="C91">
        <v>3</v>
      </c>
      <c r="D91" t="s">
        <v>86</v>
      </c>
      <c r="E91">
        <v>31520</v>
      </c>
      <c r="G91">
        <v>1</v>
      </c>
      <c r="H91">
        <v>41125751</v>
      </c>
      <c r="I91" t="s">
        <v>195</v>
      </c>
      <c r="J91">
        <v>0</v>
      </c>
      <c r="K91">
        <v>0</v>
      </c>
      <c r="L91">
        <v>0</v>
      </c>
      <c r="M91">
        <v>0</v>
      </c>
      <c r="N91">
        <v>0</v>
      </c>
      <c r="O91">
        <v>10</v>
      </c>
      <c r="P91">
        <v>0</v>
      </c>
      <c r="Q91">
        <v>0</v>
      </c>
      <c r="R91">
        <v>0</v>
      </c>
      <c r="S91">
        <v>0</v>
      </c>
      <c r="T91">
        <v>0</v>
      </c>
      <c r="U91">
        <v>0</v>
      </c>
      <c r="V91">
        <v>10</v>
      </c>
      <c r="W91" t="s">
        <v>492</v>
      </c>
      <c r="AK91" t="s">
        <v>602</v>
      </c>
    </row>
    <row r="92" spans="1:37" x14ac:dyDescent="0.25">
      <c r="A92" s="163">
        <v>46195</v>
      </c>
      <c r="B92" s="163">
        <v>46195</v>
      </c>
      <c r="C92">
        <v>3</v>
      </c>
      <c r="D92" t="s">
        <v>86</v>
      </c>
      <c r="E92">
        <v>31726</v>
      </c>
      <c r="G92">
        <v>1</v>
      </c>
      <c r="H92">
        <v>20434195</v>
      </c>
      <c r="I92" t="s">
        <v>357</v>
      </c>
      <c r="J92">
        <v>0</v>
      </c>
      <c r="K92">
        <v>0</v>
      </c>
      <c r="L92">
        <v>0</v>
      </c>
      <c r="M92">
        <v>0</v>
      </c>
      <c r="N92">
        <v>0</v>
      </c>
      <c r="O92">
        <v>7.7</v>
      </c>
      <c r="P92">
        <v>0</v>
      </c>
      <c r="Q92">
        <v>0</v>
      </c>
      <c r="R92">
        <v>0</v>
      </c>
      <c r="S92">
        <v>0</v>
      </c>
      <c r="T92">
        <v>0</v>
      </c>
      <c r="U92">
        <v>0</v>
      </c>
      <c r="V92">
        <v>7.7</v>
      </c>
      <c r="W92" t="s">
        <v>492</v>
      </c>
      <c r="AK92" t="s">
        <v>805</v>
      </c>
    </row>
    <row r="93" spans="1:37" x14ac:dyDescent="0.25">
      <c r="A93" s="163">
        <v>46188</v>
      </c>
      <c r="B93" s="163">
        <v>46188</v>
      </c>
      <c r="C93">
        <v>3</v>
      </c>
      <c r="D93" t="s">
        <v>86</v>
      </c>
      <c r="E93">
        <v>31632</v>
      </c>
      <c r="G93">
        <v>1</v>
      </c>
      <c r="H93">
        <v>46507935</v>
      </c>
      <c r="I93" t="s">
        <v>284</v>
      </c>
      <c r="J93">
        <v>0</v>
      </c>
      <c r="K93">
        <v>0</v>
      </c>
      <c r="L93">
        <v>0</v>
      </c>
      <c r="M93">
        <v>0</v>
      </c>
      <c r="N93">
        <v>0</v>
      </c>
      <c r="O93">
        <v>71</v>
      </c>
      <c r="P93">
        <v>0</v>
      </c>
      <c r="Q93">
        <v>0</v>
      </c>
      <c r="R93">
        <v>0</v>
      </c>
      <c r="S93">
        <v>0</v>
      </c>
      <c r="T93">
        <v>0</v>
      </c>
      <c r="U93">
        <v>0</v>
      </c>
      <c r="V93">
        <v>71</v>
      </c>
      <c r="W93" t="s">
        <v>492</v>
      </c>
      <c r="AK93" t="s">
        <v>712</v>
      </c>
    </row>
    <row r="94" spans="1:37" x14ac:dyDescent="0.25">
      <c r="A94" s="163">
        <v>46181</v>
      </c>
      <c r="B94" s="163">
        <v>46181</v>
      </c>
      <c r="C94">
        <v>3</v>
      </c>
      <c r="D94" t="s">
        <v>86</v>
      </c>
      <c r="E94">
        <v>31521</v>
      </c>
      <c r="G94">
        <v>6</v>
      </c>
      <c r="H94">
        <v>20611305878</v>
      </c>
      <c r="I94" t="s">
        <v>196</v>
      </c>
      <c r="J94">
        <v>0</v>
      </c>
      <c r="K94">
        <v>0</v>
      </c>
      <c r="L94">
        <v>0</v>
      </c>
      <c r="M94">
        <v>0</v>
      </c>
      <c r="N94">
        <v>0</v>
      </c>
      <c r="O94">
        <v>250</v>
      </c>
      <c r="P94">
        <v>0</v>
      </c>
      <c r="Q94">
        <v>0</v>
      </c>
      <c r="R94">
        <v>0</v>
      </c>
      <c r="S94">
        <v>0</v>
      </c>
      <c r="T94">
        <v>0</v>
      </c>
      <c r="U94">
        <v>0</v>
      </c>
      <c r="V94">
        <v>250</v>
      </c>
      <c r="W94" t="s">
        <v>492</v>
      </c>
      <c r="AK94" t="s">
        <v>603</v>
      </c>
    </row>
    <row r="95" spans="1:37" x14ac:dyDescent="0.25">
      <c r="A95" s="163">
        <v>46186</v>
      </c>
      <c r="B95" s="163">
        <v>46186</v>
      </c>
      <c r="C95">
        <v>3</v>
      </c>
      <c r="D95" t="s">
        <v>86</v>
      </c>
      <c r="E95">
        <v>31616</v>
      </c>
      <c r="G95">
        <v>1</v>
      </c>
      <c r="H95">
        <v>20667108</v>
      </c>
      <c r="I95" t="s">
        <v>272</v>
      </c>
      <c r="J95">
        <v>0</v>
      </c>
      <c r="K95">
        <v>0</v>
      </c>
      <c r="L95">
        <v>0</v>
      </c>
      <c r="M95">
        <v>0</v>
      </c>
      <c r="N95">
        <v>0</v>
      </c>
      <c r="O95">
        <v>35</v>
      </c>
      <c r="P95">
        <v>0</v>
      </c>
      <c r="Q95">
        <v>0</v>
      </c>
      <c r="R95">
        <v>0</v>
      </c>
      <c r="S95">
        <v>0</v>
      </c>
      <c r="T95">
        <v>0</v>
      </c>
      <c r="U95">
        <v>0</v>
      </c>
      <c r="V95">
        <v>35</v>
      </c>
      <c r="W95" t="s">
        <v>492</v>
      </c>
      <c r="AK95" t="s">
        <v>695</v>
      </c>
    </row>
    <row r="96" spans="1:37" x14ac:dyDescent="0.25">
      <c r="A96" s="163">
        <v>46174</v>
      </c>
      <c r="B96" s="163">
        <v>46174</v>
      </c>
      <c r="C96">
        <v>3</v>
      </c>
      <c r="D96" t="s">
        <v>86</v>
      </c>
      <c r="E96">
        <v>31426</v>
      </c>
      <c r="G96">
        <v>1</v>
      </c>
      <c r="H96">
        <v>20433339</v>
      </c>
      <c r="I96" t="s">
        <v>109</v>
      </c>
      <c r="J96">
        <v>0</v>
      </c>
      <c r="K96">
        <v>0</v>
      </c>
      <c r="L96">
        <v>0</v>
      </c>
      <c r="M96">
        <v>0</v>
      </c>
      <c r="N96">
        <v>0</v>
      </c>
      <c r="O96">
        <v>17</v>
      </c>
      <c r="P96">
        <v>0</v>
      </c>
      <c r="Q96">
        <v>0</v>
      </c>
      <c r="R96">
        <v>0</v>
      </c>
      <c r="S96">
        <v>0</v>
      </c>
      <c r="T96">
        <v>0</v>
      </c>
      <c r="U96">
        <v>0</v>
      </c>
      <c r="V96">
        <v>17</v>
      </c>
      <c r="W96" t="s">
        <v>492</v>
      </c>
      <c r="AK96" t="s">
        <v>513</v>
      </c>
    </row>
    <row r="97" spans="1:37" x14ac:dyDescent="0.25">
      <c r="A97" s="163">
        <v>46203</v>
      </c>
      <c r="B97" s="163">
        <v>46203</v>
      </c>
      <c r="C97">
        <v>3</v>
      </c>
      <c r="D97" t="s">
        <v>86</v>
      </c>
      <c r="E97">
        <v>31825</v>
      </c>
      <c r="G97">
        <v>1</v>
      </c>
      <c r="H97">
        <v>42172729</v>
      </c>
      <c r="I97" t="s">
        <v>436</v>
      </c>
      <c r="J97">
        <v>0</v>
      </c>
      <c r="K97">
        <v>0</v>
      </c>
      <c r="L97">
        <v>0</v>
      </c>
      <c r="M97">
        <v>0</v>
      </c>
      <c r="N97">
        <v>0</v>
      </c>
      <c r="O97">
        <v>40</v>
      </c>
      <c r="P97">
        <v>0</v>
      </c>
      <c r="Q97">
        <v>0</v>
      </c>
      <c r="R97">
        <v>0</v>
      </c>
      <c r="S97">
        <v>0</v>
      </c>
      <c r="T97">
        <v>0</v>
      </c>
      <c r="U97">
        <v>0</v>
      </c>
      <c r="V97">
        <v>40</v>
      </c>
      <c r="W97" t="s">
        <v>492</v>
      </c>
      <c r="AK97" t="s">
        <v>904</v>
      </c>
    </row>
    <row r="98" spans="1:37" x14ac:dyDescent="0.25">
      <c r="A98" s="163">
        <v>46193</v>
      </c>
      <c r="B98" s="163">
        <v>46193</v>
      </c>
      <c r="C98">
        <v>3</v>
      </c>
      <c r="D98" t="s">
        <v>86</v>
      </c>
      <c r="E98">
        <v>31709</v>
      </c>
      <c r="G98">
        <v>1</v>
      </c>
      <c r="H98">
        <v>74209762</v>
      </c>
      <c r="I98" t="s">
        <v>344</v>
      </c>
      <c r="J98">
        <v>0</v>
      </c>
      <c r="K98">
        <v>0</v>
      </c>
      <c r="L98">
        <v>0</v>
      </c>
      <c r="M98">
        <v>0</v>
      </c>
      <c r="N98">
        <v>0</v>
      </c>
      <c r="O98">
        <v>15</v>
      </c>
      <c r="P98">
        <v>0</v>
      </c>
      <c r="Q98">
        <v>0</v>
      </c>
      <c r="R98">
        <v>0</v>
      </c>
      <c r="S98">
        <v>0</v>
      </c>
      <c r="T98">
        <v>0</v>
      </c>
      <c r="U98">
        <v>0</v>
      </c>
      <c r="V98">
        <v>15</v>
      </c>
      <c r="W98" t="s">
        <v>492</v>
      </c>
      <c r="AK98" t="s">
        <v>788</v>
      </c>
    </row>
    <row r="99" spans="1:37" x14ac:dyDescent="0.25">
      <c r="A99" s="163">
        <v>46193</v>
      </c>
      <c r="B99" s="163">
        <v>46193</v>
      </c>
      <c r="C99">
        <v>3</v>
      </c>
      <c r="D99" t="s">
        <v>86</v>
      </c>
      <c r="E99">
        <v>31712</v>
      </c>
      <c r="G99">
        <v>1</v>
      </c>
      <c r="H99">
        <v>73964356</v>
      </c>
      <c r="I99" t="s">
        <v>346</v>
      </c>
      <c r="J99">
        <v>0</v>
      </c>
      <c r="K99">
        <v>0</v>
      </c>
      <c r="L99">
        <v>0</v>
      </c>
      <c r="M99">
        <v>0</v>
      </c>
      <c r="N99">
        <v>0</v>
      </c>
      <c r="O99">
        <v>70</v>
      </c>
      <c r="P99">
        <v>0</v>
      </c>
      <c r="Q99">
        <v>0</v>
      </c>
      <c r="R99">
        <v>0</v>
      </c>
      <c r="S99">
        <v>0</v>
      </c>
      <c r="T99">
        <v>0</v>
      </c>
      <c r="U99">
        <v>0</v>
      </c>
      <c r="V99">
        <v>70</v>
      </c>
      <c r="W99" t="s">
        <v>492</v>
      </c>
      <c r="AK99" t="s">
        <v>791</v>
      </c>
    </row>
    <row r="100" spans="1:37" x14ac:dyDescent="0.25">
      <c r="A100" s="163">
        <v>46196</v>
      </c>
      <c r="B100" s="163">
        <v>46196</v>
      </c>
      <c r="C100">
        <v>3</v>
      </c>
      <c r="D100" t="s">
        <v>86</v>
      </c>
      <c r="E100">
        <v>31748</v>
      </c>
      <c r="G100">
        <v>1</v>
      </c>
      <c r="H100">
        <v>20012728</v>
      </c>
      <c r="I100" t="s">
        <v>946</v>
      </c>
      <c r="J100">
        <v>0</v>
      </c>
      <c r="K100">
        <v>0</v>
      </c>
      <c r="L100">
        <v>0</v>
      </c>
      <c r="M100">
        <v>0</v>
      </c>
      <c r="N100">
        <v>0</v>
      </c>
      <c r="O100">
        <v>10</v>
      </c>
      <c r="P100">
        <v>0</v>
      </c>
      <c r="Q100">
        <v>0</v>
      </c>
      <c r="R100">
        <v>0</v>
      </c>
      <c r="S100">
        <v>0</v>
      </c>
      <c r="T100">
        <v>0</v>
      </c>
      <c r="U100">
        <v>0</v>
      </c>
      <c r="V100">
        <v>10</v>
      </c>
      <c r="W100" t="s">
        <v>492</v>
      </c>
      <c r="AK100" t="s">
        <v>828</v>
      </c>
    </row>
    <row r="101" spans="1:37" x14ac:dyDescent="0.25">
      <c r="A101" s="163">
        <v>46186</v>
      </c>
      <c r="B101" s="163">
        <v>46186</v>
      </c>
      <c r="C101">
        <v>3</v>
      </c>
      <c r="D101" t="s">
        <v>86</v>
      </c>
      <c r="E101">
        <v>31618</v>
      </c>
      <c r="G101">
        <v>1</v>
      </c>
      <c r="H101">
        <v>19804408</v>
      </c>
      <c r="I101" t="s">
        <v>274</v>
      </c>
      <c r="J101">
        <v>0</v>
      </c>
      <c r="K101">
        <v>0</v>
      </c>
      <c r="L101">
        <v>0</v>
      </c>
      <c r="M101">
        <v>0</v>
      </c>
      <c r="N101">
        <v>0</v>
      </c>
      <c r="O101">
        <v>2</v>
      </c>
      <c r="P101">
        <v>0</v>
      </c>
      <c r="Q101">
        <v>0</v>
      </c>
      <c r="R101">
        <v>0</v>
      </c>
      <c r="S101">
        <v>0</v>
      </c>
      <c r="T101">
        <v>0</v>
      </c>
      <c r="U101">
        <v>0</v>
      </c>
      <c r="V101">
        <v>2</v>
      </c>
      <c r="W101" t="s">
        <v>492</v>
      </c>
      <c r="AK101" t="s">
        <v>697</v>
      </c>
    </row>
    <row r="102" spans="1:37" x14ac:dyDescent="0.25">
      <c r="A102" s="163">
        <v>46200</v>
      </c>
      <c r="B102" s="163">
        <v>46200</v>
      </c>
      <c r="C102">
        <v>3</v>
      </c>
      <c r="D102" t="s">
        <v>86</v>
      </c>
      <c r="E102">
        <v>31810</v>
      </c>
      <c r="G102">
        <v>1</v>
      </c>
      <c r="H102">
        <v>20005542</v>
      </c>
      <c r="I102" t="s">
        <v>423</v>
      </c>
      <c r="J102">
        <v>0</v>
      </c>
      <c r="K102">
        <v>0</v>
      </c>
      <c r="L102">
        <v>0</v>
      </c>
      <c r="M102">
        <v>0</v>
      </c>
      <c r="N102">
        <v>0</v>
      </c>
      <c r="O102">
        <v>21.8</v>
      </c>
      <c r="P102">
        <v>0</v>
      </c>
      <c r="Q102">
        <v>0</v>
      </c>
      <c r="R102">
        <v>0</v>
      </c>
      <c r="S102">
        <v>0</v>
      </c>
      <c r="T102">
        <v>0</v>
      </c>
      <c r="U102">
        <v>0</v>
      </c>
      <c r="V102">
        <v>21.8</v>
      </c>
      <c r="W102" t="s">
        <v>492</v>
      </c>
      <c r="AK102" t="s">
        <v>889</v>
      </c>
    </row>
    <row r="103" spans="1:37" x14ac:dyDescent="0.25">
      <c r="A103" s="163">
        <v>46174</v>
      </c>
      <c r="B103" s="163">
        <v>46174</v>
      </c>
      <c r="C103">
        <v>3</v>
      </c>
      <c r="D103" t="s">
        <v>86</v>
      </c>
      <c r="E103">
        <v>31419</v>
      </c>
      <c r="G103">
        <v>1</v>
      </c>
      <c r="H103">
        <v>44347986</v>
      </c>
      <c r="I103" t="s">
        <v>102</v>
      </c>
      <c r="J103">
        <v>0</v>
      </c>
      <c r="K103">
        <v>0</v>
      </c>
      <c r="L103">
        <v>0</v>
      </c>
      <c r="M103">
        <v>0</v>
      </c>
      <c r="N103">
        <v>0</v>
      </c>
      <c r="O103">
        <v>100</v>
      </c>
      <c r="P103">
        <v>0</v>
      </c>
      <c r="Q103">
        <v>0</v>
      </c>
      <c r="R103">
        <v>0</v>
      </c>
      <c r="S103">
        <v>0</v>
      </c>
      <c r="T103">
        <v>0</v>
      </c>
      <c r="U103">
        <v>0</v>
      </c>
      <c r="V103">
        <v>100</v>
      </c>
      <c r="W103" t="s">
        <v>492</v>
      </c>
      <c r="AK103" t="s">
        <v>506</v>
      </c>
    </row>
    <row r="104" spans="1:37" x14ac:dyDescent="0.25">
      <c r="A104" s="163">
        <v>46175</v>
      </c>
      <c r="B104" s="163">
        <v>46175</v>
      </c>
      <c r="C104">
        <v>3</v>
      </c>
      <c r="D104" t="s">
        <v>86</v>
      </c>
      <c r="E104">
        <v>31445</v>
      </c>
      <c r="G104">
        <v>1</v>
      </c>
      <c r="H104">
        <v>47447219</v>
      </c>
      <c r="I104" t="s">
        <v>127</v>
      </c>
      <c r="J104">
        <v>0</v>
      </c>
      <c r="K104">
        <v>0</v>
      </c>
      <c r="L104">
        <v>0</v>
      </c>
      <c r="M104">
        <v>0</v>
      </c>
      <c r="N104">
        <v>0</v>
      </c>
      <c r="O104">
        <v>25</v>
      </c>
      <c r="P104">
        <v>0</v>
      </c>
      <c r="Q104">
        <v>0</v>
      </c>
      <c r="R104">
        <v>0</v>
      </c>
      <c r="S104">
        <v>0</v>
      </c>
      <c r="T104">
        <v>0</v>
      </c>
      <c r="U104">
        <v>0</v>
      </c>
      <c r="V104">
        <v>25</v>
      </c>
      <c r="W104" t="s">
        <v>492</v>
      </c>
      <c r="AK104" t="s">
        <v>531</v>
      </c>
    </row>
    <row r="105" spans="1:37" x14ac:dyDescent="0.25">
      <c r="A105" s="163">
        <v>46196</v>
      </c>
      <c r="B105" s="163">
        <v>46196</v>
      </c>
      <c r="C105">
        <v>3</v>
      </c>
      <c r="D105" t="s">
        <v>86</v>
      </c>
      <c r="E105">
        <v>31746</v>
      </c>
      <c r="G105">
        <v>1</v>
      </c>
      <c r="H105">
        <v>73766061</v>
      </c>
      <c r="I105" t="s">
        <v>370</v>
      </c>
      <c r="J105">
        <v>0</v>
      </c>
      <c r="K105">
        <v>0</v>
      </c>
      <c r="L105">
        <v>0</v>
      </c>
      <c r="M105">
        <v>0</v>
      </c>
      <c r="N105">
        <v>0</v>
      </c>
      <c r="O105">
        <v>8.5</v>
      </c>
      <c r="P105">
        <v>0</v>
      </c>
      <c r="Q105">
        <v>0</v>
      </c>
      <c r="R105">
        <v>0</v>
      </c>
      <c r="S105">
        <v>0</v>
      </c>
      <c r="T105">
        <v>0</v>
      </c>
      <c r="U105">
        <v>0</v>
      </c>
      <c r="V105">
        <v>8.5</v>
      </c>
      <c r="W105" t="s">
        <v>492</v>
      </c>
      <c r="AK105" t="s">
        <v>826</v>
      </c>
    </row>
    <row r="106" spans="1:37" x14ac:dyDescent="0.25">
      <c r="A106" s="163">
        <v>46175</v>
      </c>
      <c r="B106" s="163">
        <v>46175</v>
      </c>
      <c r="C106">
        <v>3</v>
      </c>
      <c r="D106" t="s">
        <v>86</v>
      </c>
      <c r="E106">
        <v>31446</v>
      </c>
      <c r="G106">
        <v>1</v>
      </c>
      <c r="H106">
        <v>43184409</v>
      </c>
      <c r="I106" t="s">
        <v>128</v>
      </c>
      <c r="J106">
        <v>0</v>
      </c>
      <c r="K106">
        <v>0</v>
      </c>
      <c r="L106">
        <v>0</v>
      </c>
      <c r="M106">
        <v>0</v>
      </c>
      <c r="N106">
        <v>0</v>
      </c>
      <c r="O106">
        <v>12.5</v>
      </c>
      <c r="P106">
        <v>0</v>
      </c>
      <c r="Q106">
        <v>0</v>
      </c>
      <c r="R106">
        <v>0</v>
      </c>
      <c r="S106">
        <v>0</v>
      </c>
      <c r="T106">
        <v>0</v>
      </c>
      <c r="U106">
        <v>0</v>
      </c>
      <c r="V106">
        <v>12.5</v>
      </c>
      <c r="W106" t="s">
        <v>492</v>
      </c>
      <c r="AK106" t="s">
        <v>532</v>
      </c>
    </row>
    <row r="107" spans="1:37" x14ac:dyDescent="0.25">
      <c r="A107" s="163">
        <v>46175</v>
      </c>
      <c r="B107" s="163">
        <v>46175</v>
      </c>
      <c r="C107">
        <v>3</v>
      </c>
      <c r="D107" t="s">
        <v>86</v>
      </c>
      <c r="E107">
        <v>31436</v>
      </c>
      <c r="G107">
        <v>6</v>
      </c>
      <c r="H107">
        <v>20518164717</v>
      </c>
      <c r="I107" t="s">
        <v>118</v>
      </c>
      <c r="J107">
        <v>0</v>
      </c>
      <c r="K107">
        <v>0</v>
      </c>
      <c r="L107">
        <v>0</v>
      </c>
      <c r="M107">
        <v>0</v>
      </c>
      <c r="N107">
        <v>0</v>
      </c>
      <c r="O107">
        <v>0.7</v>
      </c>
      <c r="P107">
        <v>0</v>
      </c>
      <c r="Q107">
        <v>0</v>
      </c>
      <c r="R107">
        <v>0</v>
      </c>
      <c r="S107">
        <v>0</v>
      </c>
      <c r="T107">
        <v>0</v>
      </c>
      <c r="U107">
        <v>0</v>
      </c>
      <c r="V107">
        <v>0.7</v>
      </c>
      <c r="W107" t="s">
        <v>492</v>
      </c>
      <c r="AK107" t="s">
        <v>523</v>
      </c>
    </row>
    <row r="108" spans="1:37" x14ac:dyDescent="0.25">
      <c r="A108" s="163">
        <v>46181</v>
      </c>
      <c r="B108" s="163">
        <v>46181</v>
      </c>
      <c r="C108">
        <v>3</v>
      </c>
      <c r="D108" t="s">
        <v>86</v>
      </c>
      <c r="E108">
        <v>31534</v>
      </c>
      <c r="G108">
        <v>1</v>
      </c>
      <c r="H108">
        <v>74362758</v>
      </c>
      <c r="I108" t="s">
        <v>207</v>
      </c>
      <c r="J108">
        <v>0</v>
      </c>
      <c r="K108">
        <v>0</v>
      </c>
      <c r="L108">
        <v>0</v>
      </c>
      <c r="M108">
        <v>0</v>
      </c>
      <c r="N108">
        <v>0</v>
      </c>
      <c r="O108">
        <v>25</v>
      </c>
      <c r="P108">
        <v>0</v>
      </c>
      <c r="Q108">
        <v>0</v>
      </c>
      <c r="R108">
        <v>0</v>
      </c>
      <c r="S108">
        <v>0</v>
      </c>
      <c r="T108">
        <v>0</v>
      </c>
      <c r="U108">
        <v>0</v>
      </c>
      <c r="V108">
        <v>25</v>
      </c>
      <c r="W108" t="s">
        <v>492</v>
      </c>
      <c r="AK108" t="s">
        <v>616</v>
      </c>
    </row>
    <row r="109" spans="1:37" x14ac:dyDescent="0.25">
      <c r="A109" s="163">
        <v>46196</v>
      </c>
      <c r="B109" s="163">
        <v>46196</v>
      </c>
      <c r="C109">
        <v>3</v>
      </c>
      <c r="D109" t="s">
        <v>86</v>
      </c>
      <c r="E109">
        <v>31747</v>
      </c>
      <c r="G109">
        <v>1</v>
      </c>
      <c r="H109">
        <v>19986854</v>
      </c>
      <c r="I109" t="s">
        <v>947</v>
      </c>
      <c r="J109">
        <v>0</v>
      </c>
      <c r="K109">
        <v>0</v>
      </c>
      <c r="L109">
        <v>0</v>
      </c>
      <c r="M109">
        <v>0</v>
      </c>
      <c r="N109">
        <v>0</v>
      </c>
      <c r="O109">
        <v>11.5</v>
      </c>
      <c r="P109">
        <v>0</v>
      </c>
      <c r="Q109">
        <v>0</v>
      </c>
      <c r="R109">
        <v>0</v>
      </c>
      <c r="S109">
        <v>0</v>
      </c>
      <c r="T109">
        <v>0</v>
      </c>
      <c r="U109">
        <v>0</v>
      </c>
      <c r="V109">
        <v>11.5</v>
      </c>
      <c r="W109" t="s">
        <v>492</v>
      </c>
      <c r="AK109" t="s">
        <v>827</v>
      </c>
    </row>
    <row r="110" spans="1:37" x14ac:dyDescent="0.25">
      <c r="A110" s="163">
        <v>46189</v>
      </c>
      <c r="B110" s="163">
        <v>46189</v>
      </c>
      <c r="C110">
        <v>3</v>
      </c>
      <c r="D110" t="s">
        <v>86</v>
      </c>
      <c r="E110">
        <v>31633</v>
      </c>
      <c r="G110">
        <v>1</v>
      </c>
      <c r="H110">
        <v>72288358</v>
      </c>
      <c r="I110" t="s">
        <v>285</v>
      </c>
      <c r="J110">
        <v>0</v>
      </c>
      <c r="K110">
        <v>0</v>
      </c>
      <c r="L110">
        <v>0</v>
      </c>
      <c r="M110">
        <v>0</v>
      </c>
      <c r="N110">
        <v>0</v>
      </c>
      <c r="O110">
        <v>9</v>
      </c>
      <c r="P110">
        <v>0</v>
      </c>
      <c r="Q110">
        <v>0</v>
      </c>
      <c r="R110">
        <v>0</v>
      </c>
      <c r="S110">
        <v>0</v>
      </c>
      <c r="T110">
        <v>0</v>
      </c>
      <c r="U110">
        <v>0</v>
      </c>
      <c r="V110">
        <v>9</v>
      </c>
      <c r="W110" t="s">
        <v>492</v>
      </c>
      <c r="AK110" t="s">
        <v>713</v>
      </c>
    </row>
    <row r="111" spans="1:37" x14ac:dyDescent="0.25">
      <c r="A111" s="163">
        <v>46195</v>
      </c>
      <c r="B111" s="163">
        <v>46195</v>
      </c>
      <c r="C111">
        <v>3</v>
      </c>
      <c r="D111" t="s">
        <v>86</v>
      </c>
      <c r="E111">
        <v>31731</v>
      </c>
      <c r="G111">
        <v>1</v>
      </c>
      <c r="H111">
        <v>20106302</v>
      </c>
      <c r="I111" t="s">
        <v>270</v>
      </c>
      <c r="J111">
        <v>0</v>
      </c>
      <c r="K111">
        <v>0</v>
      </c>
      <c r="L111">
        <v>0</v>
      </c>
      <c r="M111">
        <v>0</v>
      </c>
      <c r="N111">
        <v>0</v>
      </c>
      <c r="O111">
        <v>15</v>
      </c>
      <c r="P111">
        <v>0</v>
      </c>
      <c r="Q111">
        <v>0</v>
      </c>
      <c r="R111">
        <v>0</v>
      </c>
      <c r="S111">
        <v>0</v>
      </c>
      <c r="T111">
        <v>0</v>
      </c>
      <c r="U111">
        <v>0</v>
      </c>
      <c r="V111">
        <v>15</v>
      </c>
      <c r="W111" t="s">
        <v>492</v>
      </c>
      <c r="AK111" t="s">
        <v>810</v>
      </c>
    </row>
    <row r="112" spans="1:37" x14ac:dyDescent="0.25">
      <c r="A112" s="163">
        <v>46189</v>
      </c>
      <c r="B112" s="163">
        <v>46189</v>
      </c>
      <c r="C112">
        <v>3</v>
      </c>
      <c r="D112" t="s">
        <v>86</v>
      </c>
      <c r="E112">
        <v>31634</v>
      </c>
      <c r="G112">
        <v>1</v>
      </c>
      <c r="H112">
        <v>40515401</v>
      </c>
      <c r="I112" t="s">
        <v>286</v>
      </c>
      <c r="J112">
        <v>0</v>
      </c>
      <c r="K112">
        <v>0</v>
      </c>
      <c r="L112">
        <v>0</v>
      </c>
      <c r="M112">
        <v>0</v>
      </c>
      <c r="N112">
        <v>0</v>
      </c>
      <c r="O112">
        <v>50</v>
      </c>
      <c r="P112">
        <v>0</v>
      </c>
      <c r="Q112">
        <v>0</v>
      </c>
      <c r="R112">
        <v>0</v>
      </c>
      <c r="S112">
        <v>0</v>
      </c>
      <c r="T112">
        <v>0</v>
      </c>
      <c r="U112">
        <v>0</v>
      </c>
      <c r="V112">
        <v>50</v>
      </c>
      <c r="W112" t="s">
        <v>492</v>
      </c>
      <c r="AK112" t="s">
        <v>714</v>
      </c>
    </row>
    <row r="113" spans="1:37" x14ac:dyDescent="0.25">
      <c r="A113" s="163">
        <v>46188</v>
      </c>
      <c r="B113" s="163">
        <v>46188</v>
      </c>
      <c r="C113">
        <v>3</v>
      </c>
      <c r="D113" t="s">
        <v>86</v>
      </c>
      <c r="E113">
        <v>31619</v>
      </c>
      <c r="G113">
        <v>6</v>
      </c>
      <c r="H113">
        <v>20512071733</v>
      </c>
      <c r="I113" t="s">
        <v>276</v>
      </c>
      <c r="J113">
        <v>0</v>
      </c>
      <c r="K113">
        <v>0</v>
      </c>
      <c r="L113">
        <v>0</v>
      </c>
      <c r="M113">
        <v>0</v>
      </c>
      <c r="N113">
        <v>0</v>
      </c>
      <c r="O113">
        <v>11.4</v>
      </c>
      <c r="P113">
        <v>0</v>
      </c>
      <c r="Q113">
        <v>0</v>
      </c>
      <c r="R113">
        <v>0</v>
      </c>
      <c r="S113">
        <v>0</v>
      </c>
      <c r="T113">
        <v>0</v>
      </c>
      <c r="U113">
        <v>0</v>
      </c>
      <c r="V113">
        <v>11.4</v>
      </c>
      <c r="W113" t="s">
        <v>492</v>
      </c>
      <c r="AK113" t="s">
        <v>699</v>
      </c>
    </row>
    <row r="114" spans="1:37" x14ac:dyDescent="0.25">
      <c r="A114" s="163">
        <v>46181</v>
      </c>
      <c r="B114" s="163">
        <v>46181</v>
      </c>
      <c r="C114">
        <v>3</v>
      </c>
      <c r="D114" t="s">
        <v>86</v>
      </c>
      <c r="E114">
        <v>31532</v>
      </c>
      <c r="G114">
        <v>1</v>
      </c>
      <c r="H114">
        <v>41617406</v>
      </c>
      <c r="I114" t="s">
        <v>205</v>
      </c>
      <c r="J114">
        <v>0</v>
      </c>
      <c r="K114">
        <v>0</v>
      </c>
      <c r="L114">
        <v>0</v>
      </c>
      <c r="M114">
        <v>0</v>
      </c>
      <c r="N114">
        <v>0</v>
      </c>
      <c r="O114">
        <v>18</v>
      </c>
      <c r="P114">
        <v>0</v>
      </c>
      <c r="Q114">
        <v>0</v>
      </c>
      <c r="R114">
        <v>0</v>
      </c>
      <c r="S114">
        <v>0</v>
      </c>
      <c r="T114">
        <v>0</v>
      </c>
      <c r="U114">
        <v>0</v>
      </c>
      <c r="V114">
        <v>18</v>
      </c>
      <c r="W114" t="s">
        <v>492</v>
      </c>
      <c r="AK114" t="s">
        <v>614</v>
      </c>
    </row>
    <row r="115" spans="1:37" x14ac:dyDescent="0.25">
      <c r="A115" s="163">
        <v>46181</v>
      </c>
      <c r="B115" s="163">
        <v>46181</v>
      </c>
      <c r="C115">
        <v>3</v>
      </c>
      <c r="D115" t="s">
        <v>86</v>
      </c>
      <c r="E115">
        <v>31531</v>
      </c>
      <c r="G115">
        <v>1</v>
      </c>
      <c r="H115">
        <v>19928350</v>
      </c>
      <c r="I115" t="s">
        <v>204</v>
      </c>
      <c r="J115">
        <v>0</v>
      </c>
      <c r="K115">
        <v>0</v>
      </c>
      <c r="L115">
        <v>0</v>
      </c>
      <c r="M115">
        <v>0</v>
      </c>
      <c r="N115">
        <v>0</v>
      </c>
      <c r="O115">
        <v>10</v>
      </c>
      <c r="P115">
        <v>0</v>
      </c>
      <c r="Q115">
        <v>0</v>
      </c>
      <c r="R115">
        <v>0</v>
      </c>
      <c r="S115">
        <v>0</v>
      </c>
      <c r="T115">
        <v>0</v>
      </c>
      <c r="U115">
        <v>0</v>
      </c>
      <c r="V115">
        <v>10</v>
      </c>
      <c r="W115" t="s">
        <v>492</v>
      </c>
      <c r="AK115" t="s">
        <v>613</v>
      </c>
    </row>
    <row r="116" spans="1:37" x14ac:dyDescent="0.25">
      <c r="A116" s="163">
        <v>46196</v>
      </c>
      <c r="B116" s="163">
        <v>46196</v>
      </c>
      <c r="C116">
        <v>3</v>
      </c>
      <c r="D116" t="s">
        <v>86</v>
      </c>
      <c r="E116">
        <v>31745</v>
      </c>
      <c r="G116">
        <v>1</v>
      </c>
      <c r="H116">
        <v>43604619</v>
      </c>
      <c r="I116" t="s">
        <v>369</v>
      </c>
      <c r="J116">
        <v>0</v>
      </c>
      <c r="K116">
        <v>0</v>
      </c>
      <c r="L116">
        <v>0</v>
      </c>
      <c r="M116">
        <v>0</v>
      </c>
      <c r="N116">
        <v>0</v>
      </c>
      <c r="O116">
        <v>26.7</v>
      </c>
      <c r="P116">
        <v>0</v>
      </c>
      <c r="Q116">
        <v>0</v>
      </c>
      <c r="R116">
        <v>0</v>
      </c>
      <c r="S116">
        <v>0</v>
      </c>
      <c r="T116">
        <v>0</v>
      </c>
      <c r="U116">
        <v>0</v>
      </c>
      <c r="V116">
        <v>26.7</v>
      </c>
      <c r="W116" t="s">
        <v>492</v>
      </c>
      <c r="AK116" t="s">
        <v>825</v>
      </c>
    </row>
    <row r="117" spans="1:37" x14ac:dyDescent="0.25">
      <c r="A117" s="163">
        <v>46196</v>
      </c>
      <c r="B117" s="163">
        <v>46196</v>
      </c>
      <c r="C117">
        <v>3</v>
      </c>
      <c r="D117" t="s">
        <v>86</v>
      </c>
      <c r="E117">
        <v>31749</v>
      </c>
      <c r="G117">
        <v>1</v>
      </c>
      <c r="H117">
        <v>47483246</v>
      </c>
      <c r="I117" t="s">
        <v>373</v>
      </c>
      <c r="J117">
        <v>0</v>
      </c>
      <c r="K117">
        <v>0</v>
      </c>
      <c r="L117">
        <v>0</v>
      </c>
      <c r="M117">
        <v>0</v>
      </c>
      <c r="N117">
        <v>0</v>
      </c>
      <c r="O117">
        <v>10</v>
      </c>
      <c r="P117">
        <v>0</v>
      </c>
      <c r="Q117">
        <v>0</v>
      </c>
      <c r="R117">
        <v>0</v>
      </c>
      <c r="S117">
        <v>0</v>
      </c>
      <c r="T117">
        <v>0</v>
      </c>
      <c r="U117">
        <v>0</v>
      </c>
      <c r="V117">
        <v>10</v>
      </c>
      <c r="W117" t="s">
        <v>492</v>
      </c>
      <c r="AK117" t="s">
        <v>829</v>
      </c>
    </row>
    <row r="118" spans="1:37" x14ac:dyDescent="0.25">
      <c r="A118" s="163">
        <v>46195</v>
      </c>
      <c r="B118" s="163">
        <v>46195</v>
      </c>
      <c r="C118">
        <v>3</v>
      </c>
      <c r="D118" t="s">
        <v>86</v>
      </c>
      <c r="E118">
        <v>31728</v>
      </c>
      <c r="G118">
        <v>1</v>
      </c>
      <c r="H118">
        <v>20113860</v>
      </c>
      <c r="I118" t="s">
        <v>359</v>
      </c>
      <c r="J118">
        <v>0</v>
      </c>
      <c r="K118">
        <v>0</v>
      </c>
      <c r="L118">
        <v>0</v>
      </c>
      <c r="M118">
        <v>0</v>
      </c>
      <c r="N118">
        <v>0</v>
      </c>
      <c r="O118">
        <v>90</v>
      </c>
      <c r="P118">
        <v>0</v>
      </c>
      <c r="Q118">
        <v>0</v>
      </c>
      <c r="R118">
        <v>0</v>
      </c>
      <c r="S118">
        <v>0</v>
      </c>
      <c r="T118">
        <v>0</v>
      </c>
      <c r="U118">
        <v>0</v>
      </c>
      <c r="V118">
        <v>90</v>
      </c>
      <c r="W118" t="s">
        <v>492</v>
      </c>
      <c r="AK118" t="s">
        <v>807</v>
      </c>
    </row>
    <row r="119" spans="1:37" x14ac:dyDescent="0.25">
      <c r="A119" s="163">
        <v>46175</v>
      </c>
      <c r="B119" s="163">
        <v>46175</v>
      </c>
      <c r="C119">
        <v>3</v>
      </c>
      <c r="D119" t="s">
        <v>86</v>
      </c>
      <c r="E119">
        <v>31434</v>
      </c>
      <c r="G119">
        <v>6</v>
      </c>
      <c r="H119">
        <v>20602228739</v>
      </c>
      <c r="I119" t="s">
        <v>117</v>
      </c>
      <c r="J119">
        <v>0</v>
      </c>
      <c r="K119">
        <v>0</v>
      </c>
      <c r="L119">
        <v>0</v>
      </c>
      <c r="M119">
        <v>0</v>
      </c>
      <c r="N119">
        <v>0</v>
      </c>
      <c r="O119">
        <v>17</v>
      </c>
      <c r="P119">
        <v>0</v>
      </c>
      <c r="Q119">
        <v>0</v>
      </c>
      <c r="R119">
        <v>0</v>
      </c>
      <c r="S119">
        <v>0</v>
      </c>
      <c r="T119">
        <v>0</v>
      </c>
      <c r="U119">
        <v>0</v>
      </c>
      <c r="V119">
        <v>17</v>
      </c>
      <c r="W119" t="s">
        <v>492</v>
      </c>
      <c r="AK119" t="s">
        <v>521</v>
      </c>
    </row>
    <row r="120" spans="1:37" x14ac:dyDescent="0.25">
      <c r="A120" s="163">
        <v>46181</v>
      </c>
      <c r="B120" s="163">
        <v>46181</v>
      </c>
      <c r="C120">
        <v>3</v>
      </c>
      <c r="D120" t="s">
        <v>86</v>
      </c>
      <c r="E120">
        <v>31523</v>
      </c>
      <c r="G120">
        <v>6</v>
      </c>
      <c r="H120">
        <v>20518164717</v>
      </c>
      <c r="I120" t="s">
        <v>118</v>
      </c>
      <c r="J120">
        <v>0</v>
      </c>
      <c r="K120">
        <v>0</v>
      </c>
      <c r="L120">
        <v>0</v>
      </c>
      <c r="M120">
        <v>0</v>
      </c>
      <c r="N120">
        <v>0</v>
      </c>
      <c r="O120">
        <v>13.5</v>
      </c>
      <c r="P120">
        <v>0</v>
      </c>
      <c r="Q120">
        <v>0</v>
      </c>
      <c r="R120">
        <v>0</v>
      </c>
      <c r="S120">
        <v>0</v>
      </c>
      <c r="T120">
        <v>0</v>
      </c>
      <c r="U120">
        <v>0</v>
      </c>
      <c r="V120">
        <v>13.5</v>
      </c>
      <c r="W120" t="s">
        <v>492</v>
      </c>
      <c r="AK120" t="s">
        <v>605</v>
      </c>
    </row>
    <row r="121" spans="1:37" x14ac:dyDescent="0.25">
      <c r="A121" s="163">
        <v>46175</v>
      </c>
      <c r="B121" s="163">
        <v>46175</v>
      </c>
      <c r="C121">
        <v>3</v>
      </c>
      <c r="D121" t="s">
        <v>86</v>
      </c>
      <c r="E121">
        <v>31435</v>
      </c>
      <c r="G121">
        <v>6</v>
      </c>
      <c r="H121">
        <v>20518164717</v>
      </c>
      <c r="I121" t="s">
        <v>118</v>
      </c>
      <c r="J121">
        <v>0</v>
      </c>
      <c r="K121">
        <v>0</v>
      </c>
      <c r="L121">
        <v>0</v>
      </c>
      <c r="M121">
        <v>0</v>
      </c>
      <c r="N121">
        <v>0</v>
      </c>
      <c r="O121">
        <v>38.299999999999997</v>
      </c>
      <c r="P121">
        <v>0</v>
      </c>
      <c r="Q121">
        <v>0</v>
      </c>
      <c r="R121">
        <v>0</v>
      </c>
      <c r="S121">
        <v>0</v>
      </c>
      <c r="T121">
        <v>0</v>
      </c>
      <c r="U121">
        <v>0</v>
      </c>
      <c r="V121">
        <v>38.299999999999997</v>
      </c>
      <c r="W121" t="s">
        <v>492</v>
      </c>
      <c r="AK121" t="s">
        <v>522</v>
      </c>
    </row>
    <row r="122" spans="1:37" x14ac:dyDescent="0.25">
      <c r="A122" s="163">
        <v>46175</v>
      </c>
      <c r="B122" s="163">
        <v>46175</v>
      </c>
      <c r="C122">
        <v>3</v>
      </c>
      <c r="D122" t="s">
        <v>86</v>
      </c>
      <c r="E122">
        <v>31447</v>
      </c>
      <c r="G122">
        <v>1</v>
      </c>
      <c r="H122">
        <v>40426275</v>
      </c>
      <c r="I122" t="s">
        <v>129</v>
      </c>
      <c r="J122">
        <v>0</v>
      </c>
      <c r="K122">
        <v>0</v>
      </c>
      <c r="L122">
        <v>0</v>
      </c>
      <c r="M122">
        <v>0</v>
      </c>
      <c r="N122">
        <v>0</v>
      </c>
      <c r="O122">
        <v>15</v>
      </c>
      <c r="P122">
        <v>0</v>
      </c>
      <c r="Q122">
        <v>0</v>
      </c>
      <c r="R122">
        <v>0</v>
      </c>
      <c r="S122">
        <v>0</v>
      </c>
      <c r="T122">
        <v>0</v>
      </c>
      <c r="U122">
        <v>0</v>
      </c>
      <c r="V122">
        <v>15</v>
      </c>
      <c r="W122" t="s">
        <v>492</v>
      </c>
      <c r="AK122" t="s">
        <v>533</v>
      </c>
    </row>
    <row r="123" spans="1:37" x14ac:dyDescent="0.25">
      <c r="A123" s="163">
        <v>46188</v>
      </c>
      <c r="B123" s="163">
        <v>46188</v>
      </c>
      <c r="C123">
        <v>3</v>
      </c>
      <c r="D123" t="s">
        <v>86</v>
      </c>
      <c r="E123">
        <v>31622</v>
      </c>
      <c r="G123">
        <v>6</v>
      </c>
      <c r="H123">
        <v>20612437298</v>
      </c>
      <c r="I123" t="s">
        <v>943</v>
      </c>
      <c r="J123">
        <v>0</v>
      </c>
      <c r="K123">
        <v>0</v>
      </c>
      <c r="L123">
        <v>0</v>
      </c>
      <c r="M123">
        <v>0</v>
      </c>
      <c r="N123">
        <v>0</v>
      </c>
      <c r="O123">
        <v>9.6</v>
      </c>
      <c r="P123">
        <v>0</v>
      </c>
      <c r="Q123">
        <v>0</v>
      </c>
      <c r="R123">
        <v>0</v>
      </c>
      <c r="S123">
        <v>0</v>
      </c>
      <c r="T123">
        <v>0</v>
      </c>
      <c r="U123">
        <v>0</v>
      </c>
      <c r="V123">
        <v>9.6</v>
      </c>
      <c r="W123" t="s">
        <v>492</v>
      </c>
      <c r="AK123" t="s">
        <v>702</v>
      </c>
    </row>
    <row r="124" spans="1:37" x14ac:dyDescent="0.25">
      <c r="A124" s="163">
        <v>46195</v>
      </c>
      <c r="B124" s="163">
        <v>46195</v>
      </c>
      <c r="C124">
        <v>3</v>
      </c>
      <c r="D124" t="s">
        <v>86</v>
      </c>
      <c r="E124">
        <v>31730</v>
      </c>
      <c r="G124">
        <v>1</v>
      </c>
      <c r="H124">
        <v>46013333</v>
      </c>
      <c r="I124" t="s">
        <v>361</v>
      </c>
      <c r="J124">
        <v>0</v>
      </c>
      <c r="K124">
        <v>0</v>
      </c>
      <c r="L124">
        <v>0</v>
      </c>
      <c r="M124">
        <v>0</v>
      </c>
      <c r="N124">
        <v>0</v>
      </c>
      <c r="O124">
        <v>67.7</v>
      </c>
      <c r="P124">
        <v>0</v>
      </c>
      <c r="Q124">
        <v>0</v>
      </c>
      <c r="R124">
        <v>0</v>
      </c>
      <c r="S124">
        <v>0</v>
      </c>
      <c r="T124">
        <v>0</v>
      </c>
      <c r="U124">
        <v>0</v>
      </c>
      <c r="V124">
        <v>67.7</v>
      </c>
      <c r="W124" t="s">
        <v>492</v>
      </c>
      <c r="AK124" t="s">
        <v>809</v>
      </c>
    </row>
    <row r="125" spans="1:37" x14ac:dyDescent="0.25">
      <c r="A125" s="163">
        <v>46197</v>
      </c>
      <c r="B125" s="163">
        <v>46197</v>
      </c>
      <c r="C125">
        <v>3</v>
      </c>
      <c r="D125" t="s">
        <v>86</v>
      </c>
      <c r="E125">
        <v>31764</v>
      </c>
      <c r="G125">
        <v>1</v>
      </c>
      <c r="H125">
        <v>42456872</v>
      </c>
      <c r="I125" t="s">
        <v>386</v>
      </c>
      <c r="J125">
        <v>0</v>
      </c>
      <c r="K125">
        <v>0</v>
      </c>
      <c r="L125">
        <v>0</v>
      </c>
      <c r="M125">
        <v>0</v>
      </c>
      <c r="N125">
        <v>0</v>
      </c>
      <c r="O125">
        <v>175</v>
      </c>
      <c r="P125">
        <v>0</v>
      </c>
      <c r="Q125">
        <v>0</v>
      </c>
      <c r="R125">
        <v>0</v>
      </c>
      <c r="S125">
        <v>0</v>
      </c>
      <c r="T125">
        <v>0</v>
      </c>
      <c r="U125">
        <v>0</v>
      </c>
      <c r="V125">
        <v>175</v>
      </c>
      <c r="W125" t="s">
        <v>492</v>
      </c>
      <c r="AK125" t="s">
        <v>845</v>
      </c>
    </row>
    <row r="126" spans="1:37" x14ac:dyDescent="0.25">
      <c r="A126" s="163">
        <v>46195</v>
      </c>
      <c r="B126" s="163">
        <v>46195</v>
      </c>
      <c r="C126">
        <v>3</v>
      </c>
      <c r="D126" t="s">
        <v>86</v>
      </c>
      <c r="E126">
        <v>31718</v>
      </c>
      <c r="G126">
        <v>1</v>
      </c>
      <c r="H126">
        <v>73112170</v>
      </c>
      <c r="I126" t="s">
        <v>350</v>
      </c>
      <c r="J126">
        <v>0</v>
      </c>
      <c r="K126">
        <v>0</v>
      </c>
      <c r="L126">
        <v>0</v>
      </c>
      <c r="M126">
        <v>0</v>
      </c>
      <c r="N126">
        <v>0</v>
      </c>
      <c r="O126">
        <v>7.5</v>
      </c>
      <c r="P126">
        <v>0</v>
      </c>
      <c r="Q126">
        <v>0</v>
      </c>
      <c r="R126">
        <v>0</v>
      </c>
      <c r="S126">
        <v>0</v>
      </c>
      <c r="T126">
        <v>0</v>
      </c>
      <c r="U126">
        <v>0</v>
      </c>
      <c r="V126">
        <v>7.5</v>
      </c>
      <c r="W126" t="s">
        <v>492</v>
      </c>
      <c r="AK126" t="s">
        <v>797</v>
      </c>
    </row>
    <row r="127" spans="1:37" x14ac:dyDescent="0.25">
      <c r="A127" s="163">
        <v>46181</v>
      </c>
      <c r="B127" s="163">
        <v>46181</v>
      </c>
      <c r="C127">
        <v>3</v>
      </c>
      <c r="D127" t="s">
        <v>86</v>
      </c>
      <c r="E127">
        <v>31522</v>
      </c>
      <c r="G127">
        <v>1</v>
      </c>
      <c r="H127">
        <v>75181935</v>
      </c>
      <c r="I127" t="s">
        <v>948</v>
      </c>
      <c r="J127">
        <v>0</v>
      </c>
      <c r="K127">
        <v>0</v>
      </c>
      <c r="L127">
        <v>0</v>
      </c>
      <c r="M127">
        <v>0</v>
      </c>
      <c r="N127">
        <v>0</v>
      </c>
      <c r="O127">
        <v>2.5</v>
      </c>
      <c r="P127">
        <v>0</v>
      </c>
      <c r="Q127">
        <v>0</v>
      </c>
      <c r="R127">
        <v>0</v>
      </c>
      <c r="S127">
        <v>0</v>
      </c>
      <c r="T127">
        <v>0</v>
      </c>
      <c r="U127">
        <v>0</v>
      </c>
      <c r="V127">
        <v>2.5</v>
      </c>
      <c r="W127" t="s">
        <v>492</v>
      </c>
      <c r="AK127" t="s">
        <v>604</v>
      </c>
    </row>
    <row r="128" spans="1:37" x14ac:dyDescent="0.25">
      <c r="A128" s="163">
        <v>46186</v>
      </c>
      <c r="B128" s="163">
        <v>46186</v>
      </c>
      <c r="C128">
        <v>3</v>
      </c>
      <c r="D128" t="s">
        <v>86</v>
      </c>
      <c r="E128">
        <v>31617</v>
      </c>
      <c r="G128">
        <v>1</v>
      </c>
      <c r="H128">
        <v>41365794</v>
      </c>
      <c r="I128" t="s">
        <v>273</v>
      </c>
      <c r="J128">
        <v>0</v>
      </c>
      <c r="K128">
        <v>0</v>
      </c>
      <c r="L128">
        <v>0</v>
      </c>
      <c r="M128">
        <v>0</v>
      </c>
      <c r="N128">
        <v>0</v>
      </c>
      <c r="O128">
        <v>5.7</v>
      </c>
      <c r="P128">
        <v>0</v>
      </c>
      <c r="Q128">
        <v>0</v>
      </c>
      <c r="R128">
        <v>0</v>
      </c>
      <c r="S128">
        <v>0</v>
      </c>
      <c r="T128">
        <v>0</v>
      </c>
      <c r="U128">
        <v>0</v>
      </c>
      <c r="V128">
        <v>5.7</v>
      </c>
      <c r="W128" t="s">
        <v>492</v>
      </c>
      <c r="AK128" t="s">
        <v>696</v>
      </c>
    </row>
    <row r="129" spans="1:37" x14ac:dyDescent="0.25">
      <c r="A129" s="163">
        <v>46193</v>
      </c>
      <c r="B129" s="163">
        <v>46193</v>
      </c>
      <c r="C129">
        <v>3</v>
      </c>
      <c r="D129" t="s">
        <v>86</v>
      </c>
      <c r="E129">
        <v>31713</v>
      </c>
      <c r="G129">
        <v>1</v>
      </c>
      <c r="H129">
        <v>46798728</v>
      </c>
      <c r="I129" t="s">
        <v>347</v>
      </c>
      <c r="J129">
        <v>0</v>
      </c>
      <c r="K129">
        <v>0</v>
      </c>
      <c r="L129">
        <v>0</v>
      </c>
      <c r="M129">
        <v>0</v>
      </c>
      <c r="N129">
        <v>0</v>
      </c>
      <c r="O129">
        <v>12.5</v>
      </c>
      <c r="P129">
        <v>0</v>
      </c>
      <c r="Q129">
        <v>0</v>
      </c>
      <c r="R129">
        <v>0</v>
      </c>
      <c r="S129">
        <v>0</v>
      </c>
      <c r="T129">
        <v>0</v>
      </c>
      <c r="U129">
        <v>0</v>
      </c>
      <c r="V129">
        <v>12.5</v>
      </c>
      <c r="W129" t="s">
        <v>492</v>
      </c>
      <c r="AK129" t="s">
        <v>792</v>
      </c>
    </row>
    <row r="130" spans="1:37" x14ac:dyDescent="0.25">
      <c r="A130" s="163">
        <v>46175</v>
      </c>
      <c r="B130" s="163">
        <v>46175</v>
      </c>
      <c r="C130">
        <v>3</v>
      </c>
      <c r="D130" t="s">
        <v>86</v>
      </c>
      <c r="E130">
        <v>31438</v>
      </c>
      <c r="G130">
        <v>1</v>
      </c>
      <c r="H130">
        <v>20109803</v>
      </c>
      <c r="I130" t="s">
        <v>120</v>
      </c>
      <c r="J130">
        <v>0</v>
      </c>
      <c r="K130">
        <v>0</v>
      </c>
      <c r="L130">
        <v>0</v>
      </c>
      <c r="M130">
        <v>0</v>
      </c>
      <c r="N130">
        <v>0</v>
      </c>
      <c r="O130">
        <v>25</v>
      </c>
      <c r="P130">
        <v>0</v>
      </c>
      <c r="Q130">
        <v>0</v>
      </c>
      <c r="R130">
        <v>0</v>
      </c>
      <c r="S130">
        <v>0</v>
      </c>
      <c r="T130">
        <v>0</v>
      </c>
      <c r="U130">
        <v>0</v>
      </c>
      <c r="V130">
        <v>25</v>
      </c>
      <c r="W130" t="s">
        <v>492</v>
      </c>
      <c r="AK130" t="s">
        <v>525</v>
      </c>
    </row>
    <row r="131" spans="1:37" x14ac:dyDescent="0.25">
      <c r="A131" s="163">
        <v>46203</v>
      </c>
      <c r="B131" s="163">
        <v>46203</v>
      </c>
      <c r="C131">
        <v>3</v>
      </c>
      <c r="D131" t="s">
        <v>86</v>
      </c>
      <c r="E131">
        <v>31829</v>
      </c>
      <c r="G131">
        <v>1</v>
      </c>
      <c r="H131">
        <v>20040455</v>
      </c>
      <c r="I131" t="s">
        <v>440</v>
      </c>
      <c r="J131">
        <v>0</v>
      </c>
      <c r="K131">
        <v>0</v>
      </c>
      <c r="L131">
        <v>0</v>
      </c>
      <c r="M131">
        <v>0</v>
      </c>
      <c r="N131">
        <v>0</v>
      </c>
      <c r="O131">
        <v>14</v>
      </c>
      <c r="P131">
        <v>0</v>
      </c>
      <c r="Q131">
        <v>0</v>
      </c>
      <c r="R131">
        <v>0</v>
      </c>
      <c r="S131">
        <v>0</v>
      </c>
      <c r="T131">
        <v>0</v>
      </c>
      <c r="U131">
        <v>0</v>
      </c>
      <c r="V131">
        <v>14</v>
      </c>
      <c r="W131" t="s">
        <v>492</v>
      </c>
      <c r="AK131" t="s">
        <v>908</v>
      </c>
    </row>
    <row r="132" spans="1:37" x14ac:dyDescent="0.25">
      <c r="A132" s="163">
        <v>46181</v>
      </c>
      <c r="B132" s="163">
        <v>46181</v>
      </c>
      <c r="C132">
        <v>3</v>
      </c>
      <c r="D132" t="s">
        <v>86</v>
      </c>
      <c r="E132">
        <v>31530</v>
      </c>
      <c r="G132">
        <v>1</v>
      </c>
      <c r="H132">
        <v>72961983</v>
      </c>
      <c r="I132" t="s">
        <v>203</v>
      </c>
      <c r="J132">
        <v>0</v>
      </c>
      <c r="K132">
        <v>0</v>
      </c>
      <c r="L132">
        <v>0</v>
      </c>
      <c r="M132">
        <v>0</v>
      </c>
      <c r="N132">
        <v>0</v>
      </c>
      <c r="O132">
        <v>34.6</v>
      </c>
      <c r="P132">
        <v>0</v>
      </c>
      <c r="Q132">
        <v>0</v>
      </c>
      <c r="R132">
        <v>0</v>
      </c>
      <c r="S132">
        <v>0</v>
      </c>
      <c r="T132">
        <v>0</v>
      </c>
      <c r="U132">
        <v>0</v>
      </c>
      <c r="V132">
        <v>34.6</v>
      </c>
      <c r="W132" t="s">
        <v>492</v>
      </c>
      <c r="AK132" t="s">
        <v>612</v>
      </c>
    </row>
    <row r="133" spans="1:37" x14ac:dyDescent="0.25">
      <c r="A133" s="163">
        <v>46190</v>
      </c>
      <c r="B133" s="163">
        <v>46190</v>
      </c>
      <c r="C133">
        <v>3</v>
      </c>
      <c r="D133" t="s">
        <v>86</v>
      </c>
      <c r="E133">
        <v>31670</v>
      </c>
      <c r="G133">
        <v>1</v>
      </c>
      <c r="H133">
        <v>42049798</v>
      </c>
      <c r="I133" t="s">
        <v>221</v>
      </c>
      <c r="J133">
        <v>0</v>
      </c>
      <c r="K133">
        <v>0</v>
      </c>
      <c r="L133">
        <v>0</v>
      </c>
      <c r="M133">
        <v>0</v>
      </c>
      <c r="N133">
        <v>0</v>
      </c>
      <c r="O133">
        <v>12.5</v>
      </c>
      <c r="P133">
        <v>0</v>
      </c>
      <c r="Q133">
        <v>0</v>
      </c>
      <c r="R133">
        <v>0</v>
      </c>
      <c r="S133">
        <v>0</v>
      </c>
      <c r="T133">
        <v>0</v>
      </c>
      <c r="U133">
        <v>0</v>
      </c>
      <c r="V133">
        <v>12.5</v>
      </c>
      <c r="W133" t="s">
        <v>492</v>
      </c>
      <c r="AK133" t="s">
        <v>749</v>
      </c>
    </row>
    <row r="134" spans="1:37" x14ac:dyDescent="0.25">
      <c r="A134" s="163">
        <v>46177</v>
      </c>
      <c r="B134" s="163">
        <v>46177</v>
      </c>
      <c r="C134">
        <v>3</v>
      </c>
      <c r="D134" t="s">
        <v>86</v>
      </c>
      <c r="E134">
        <v>31465</v>
      </c>
      <c r="G134">
        <v>6</v>
      </c>
      <c r="H134">
        <v>20602215637</v>
      </c>
      <c r="I134" t="s">
        <v>949</v>
      </c>
      <c r="J134">
        <v>0</v>
      </c>
      <c r="K134">
        <v>0</v>
      </c>
      <c r="L134">
        <v>0</v>
      </c>
      <c r="M134">
        <v>0</v>
      </c>
      <c r="N134">
        <v>0</v>
      </c>
      <c r="O134">
        <v>150</v>
      </c>
      <c r="P134">
        <v>0</v>
      </c>
      <c r="Q134">
        <v>0</v>
      </c>
      <c r="R134">
        <v>0</v>
      </c>
      <c r="S134">
        <v>0</v>
      </c>
      <c r="T134">
        <v>0</v>
      </c>
      <c r="U134">
        <v>0</v>
      </c>
      <c r="V134">
        <v>150</v>
      </c>
      <c r="W134" t="s">
        <v>492</v>
      </c>
      <c r="AK134" t="s">
        <v>550</v>
      </c>
    </row>
    <row r="135" spans="1:37" x14ac:dyDescent="0.25">
      <c r="A135" s="163">
        <v>46188</v>
      </c>
      <c r="B135" s="163">
        <v>46188</v>
      </c>
      <c r="C135">
        <v>3</v>
      </c>
      <c r="D135" t="s">
        <v>86</v>
      </c>
      <c r="E135">
        <v>31623</v>
      </c>
      <c r="G135">
        <v>1</v>
      </c>
      <c r="H135">
        <v>19998981</v>
      </c>
      <c r="I135" t="s">
        <v>277</v>
      </c>
      <c r="J135">
        <v>0</v>
      </c>
      <c r="K135">
        <v>0</v>
      </c>
      <c r="L135">
        <v>0</v>
      </c>
      <c r="M135">
        <v>0</v>
      </c>
      <c r="N135">
        <v>0</v>
      </c>
      <c r="O135">
        <v>131.69999999999999</v>
      </c>
      <c r="P135">
        <v>0</v>
      </c>
      <c r="Q135">
        <v>0</v>
      </c>
      <c r="R135">
        <v>0</v>
      </c>
      <c r="S135">
        <v>0</v>
      </c>
      <c r="T135">
        <v>0</v>
      </c>
      <c r="U135">
        <v>0</v>
      </c>
      <c r="V135">
        <v>131.69999999999999</v>
      </c>
      <c r="W135" t="s">
        <v>492</v>
      </c>
      <c r="AK135" t="s">
        <v>703</v>
      </c>
    </row>
    <row r="136" spans="1:37" x14ac:dyDescent="0.25">
      <c r="A136" s="163">
        <v>46195</v>
      </c>
      <c r="B136" s="163">
        <v>46195</v>
      </c>
      <c r="C136">
        <v>3</v>
      </c>
      <c r="D136" t="s">
        <v>86</v>
      </c>
      <c r="E136">
        <v>31714</v>
      </c>
      <c r="G136">
        <v>6</v>
      </c>
      <c r="H136">
        <v>20518164717</v>
      </c>
      <c r="I136" t="s">
        <v>118</v>
      </c>
      <c r="J136">
        <v>0</v>
      </c>
      <c r="K136">
        <v>0</v>
      </c>
      <c r="L136">
        <v>0</v>
      </c>
      <c r="M136">
        <v>0</v>
      </c>
      <c r="N136">
        <v>0</v>
      </c>
      <c r="O136">
        <v>24.7</v>
      </c>
      <c r="P136">
        <v>0</v>
      </c>
      <c r="Q136">
        <v>0</v>
      </c>
      <c r="R136">
        <v>0</v>
      </c>
      <c r="S136">
        <v>0</v>
      </c>
      <c r="T136">
        <v>0</v>
      </c>
      <c r="U136">
        <v>0</v>
      </c>
      <c r="V136">
        <v>24.7</v>
      </c>
      <c r="W136" t="s">
        <v>492</v>
      </c>
      <c r="AK136" t="s">
        <v>793</v>
      </c>
    </row>
    <row r="137" spans="1:37" x14ac:dyDescent="0.25">
      <c r="A137" s="163">
        <v>46181</v>
      </c>
      <c r="B137" s="163">
        <v>46181</v>
      </c>
      <c r="C137">
        <v>3</v>
      </c>
      <c r="D137" t="s">
        <v>86</v>
      </c>
      <c r="E137">
        <v>31533</v>
      </c>
      <c r="G137">
        <v>1</v>
      </c>
      <c r="H137">
        <v>74139047</v>
      </c>
      <c r="I137" t="s">
        <v>206</v>
      </c>
      <c r="J137">
        <v>0</v>
      </c>
      <c r="K137">
        <v>0</v>
      </c>
      <c r="L137">
        <v>0</v>
      </c>
      <c r="M137">
        <v>0</v>
      </c>
      <c r="N137">
        <v>0</v>
      </c>
      <c r="O137">
        <v>9.5</v>
      </c>
      <c r="P137">
        <v>0</v>
      </c>
      <c r="Q137">
        <v>0</v>
      </c>
      <c r="R137">
        <v>0</v>
      </c>
      <c r="S137">
        <v>0</v>
      </c>
      <c r="T137">
        <v>0</v>
      </c>
      <c r="U137">
        <v>0</v>
      </c>
      <c r="V137">
        <v>9.5</v>
      </c>
      <c r="W137" t="s">
        <v>492</v>
      </c>
      <c r="AK137" t="s">
        <v>615</v>
      </c>
    </row>
    <row r="138" spans="1:37" x14ac:dyDescent="0.25">
      <c r="A138" s="163">
        <v>46181</v>
      </c>
      <c r="B138" s="163">
        <v>46181</v>
      </c>
      <c r="C138">
        <v>3</v>
      </c>
      <c r="D138" t="s">
        <v>86</v>
      </c>
      <c r="E138">
        <v>31525</v>
      </c>
      <c r="G138">
        <v>6</v>
      </c>
      <c r="H138">
        <v>10200544124</v>
      </c>
      <c r="I138" t="s">
        <v>199</v>
      </c>
      <c r="J138">
        <v>0</v>
      </c>
      <c r="K138">
        <v>0</v>
      </c>
      <c r="L138">
        <v>0</v>
      </c>
      <c r="M138">
        <v>0</v>
      </c>
      <c r="N138">
        <v>0</v>
      </c>
      <c r="O138">
        <v>9.9</v>
      </c>
      <c r="P138">
        <v>0</v>
      </c>
      <c r="Q138">
        <v>0</v>
      </c>
      <c r="R138">
        <v>0</v>
      </c>
      <c r="S138">
        <v>0</v>
      </c>
      <c r="T138">
        <v>0</v>
      </c>
      <c r="U138">
        <v>0</v>
      </c>
      <c r="V138">
        <v>9.9</v>
      </c>
      <c r="W138" t="s">
        <v>492</v>
      </c>
      <c r="AK138" t="s">
        <v>607</v>
      </c>
    </row>
    <row r="139" spans="1:37" x14ac:dyDescent="0.25">
      <c r="A139" s="163">
        <v>46191</v>
      </c>
      <c r="B139" s="163">
        <v>46191</v>
      </c>
      <c r="C139">
        <v>3</v>
      </c>
      <c r="D139" t="s">
        <v>86</v>
      </c>
      <c r="E139">
        <v>31672</v>
      </c>
      <c r="G139">
        <v>6</v>
      </c>
      <c r="H139">
        <v>20487125921</v>
      </c>
      <c r="I139" t="s">
        <v>950</v>
      </c>
      <c r="J139">
        <v>0</v>
      </c>
      <c r="K139">
        <v>0</v>
      </c>
      <c r="L139">
        <v>0</v>
      </c>
      <c r="M139">
        <v>0</v>
      </c>
      <c r="N139">
        <v>0</v>
      </c>
      <c r="O139">
        <v>25</v>
      </c>
      <c r="P139">
        <v>0</v>
      </c>
      <c r="Q139">
        <v>0</v>
      </c>
      <c r="R139">
        <v>0</v>
      </c>
      <c r="S139">
        <v>0</v>
      </c>
      <c r="T139">
        <v>0</v>
      </c>
      <c r="U139">
        <v>0</v>
      </c>
      <c r="V139">
        <v>25</v>
      </c>
      <c r="W139" t="s">
        <v>492</v>
      </c>
      <c r="AK139" t="s">
        <v>751</v>
      </c>
    </row>
    <row r="140" spans="1:37" x14ac:dyDescent="0.25">
      <c r="A140" s="163">
        <v>46176</v>
      </c>
      <c r="B140" s="163">
        <v>46176</v>
      </c>
      <c r="C140">
        <v>3</v>
      </c>
      <c r="D140" t="s">
        <v>86</v>
      </c>
      <c r="E140">
        <v>31463</v>
      </c>
      <c r="G140">
        <v>1</v>
      </c>
      <c r="H140">
        <v>21132678</v>
      </c>
      <c r="I140" t="s">
        <v>144</v>
      </c>
      <c r="J140">
        <v>0</v>
      </c>
      <c r="K140">
        <v>0</v>
      </c>
      <c r="L140">
        <v>0</v>
      </c>
      <c r="M140">
        <v>0</v>
      </c>
      <c r="N140">
        <v>0</v>
      </c>
      <c r="O140">
        <v>24.3</v>
      </c>
      <c r="P140">
        <v>0</v>
      </c>
      <c r="Q140">
        <v>0</v>
      </c>
      <c r="R140">
        <v>0</v>
      </c>
      <c r="S140">
        <v>0</v>
      </c>
      <c r="T140">
        <v>0</v>
      </c>
      <c r="U140">
        <v>0</v>
      </c>
      <c r="V140">
        <v>24.3</v>
      </c>
      <c r="W140" t="s">
        <v>492</v>
      </c>
      <c r="AK140" t="s">
        <v>548</v>
      </c>
    </row>
    <row r="141" spans="1:37" x14ac:dyDescent="0.25">
      <c r="A141" s="163">
        <v>46195</v>
      </c>
      <c r="B141" s="163">
        <v>46195</v>
      </c>
      <c r="C141">
        <v>3</v>
      </c>
      <c r="D141" t="s">
        <v>86</v>
      </c>
      <c r="E141">
        <v>31729</v>
      </c>
      <c r="G141">
        <v>1</v>
      </c>
      <c r="H141">
        <v>20434573</v>
      </c>
      <c r="I141" t="s">
        <v>360</v>
      </c>
      <c r="J141">
        <v>0</v>
      </c>
      <c r="K141">
        <v>0</v>
      </c>
      <c r="L141">
        <v>0</v>
      </c>
      <c r="M141">
        <v>0</v>
      </c>
      <c r="N141">
        <v>0</v>
      </c>
      <c r="O141">
        <v>50</v>
      </c>
      <c r="P141">
        <v>0</v>
      </c>
      <c r="Q141">
        <v>0</v>
      </c>
      <c r="R141">
        <v>0</v>
      </c>
      <c r="S141">
        <v>0</v>
      </c>
      <c r="T141">
        <v>0</v>
      </c>
      <c r="U141">
        <v>0</v>
      </c>
      <c r="V141">
        <v>50</v>
      </c>
      <c r="W141" t="s">
        <v>492</v>
      </c>
      <c r="AK141" t="s">
        <v>808</v>
      </c>
    </row>
    <row r="142" spans="1:37" x14ac:dyDescent="0.25">
      <c r="A142" s="163">
        <v>46195</v>
      </c>
      <c r="B142" s="163">
        <v>46195</v>
      </c>
      <c r="C142">
        <v>3</v>
      </c>
      <c r="D142" t="s">
        <v>86</v>
      </c>
      <c r="E142">
        <v>31716</v>
      </c>
      <c r="G142">
        <v>1</v>
      </c>
      <c r="H142">
        <v>20432273</v>
      </c>
      <c r="I142" t="s">
        <v>348</v>
      </c>
      <c r="J142">
        <v>0</v>
      </c>
      <c r="K142">
        <v>0</v>
      </c>
      <c r="L142">
        <v>0</v>
      </c>
      <c r="M142">
        <v>0</v>
      </c>
      <c r="N142">
        <v>0</v>
      </c>
      <c r="O142">
        <v>17.5</v>
      </c>
      <c r="P142">
        <v>0</v>
      </c>
      <c r="Q142">
        <v>0</v>
      </c>
      <c r="R142">
        <v>0</v>
      </c>
      <c r="S142">
        <v>0</v>
      </c>
      <c r="T142">
        <v>0</v>
      </c>
      <c r="U142">
        <v>0</v>
      </c>
      <c r="V142">
        <v>17.5</v>
      </c>
      <c r="W142" t="s">
        <v>492</v>
      </c>
      <c r="AK142" t="s">
        <v>795</v>
      </c>
    </row>
    <row r="143" spans="1:37" x14ac:dyDescent="0.25">
      <c r="A143" s="163">
        <v>46188</v>
      </c>
      <c r="B143" s="163">
        <v>46188</v>
      </c>
      <c r="C143">
        <v>3</v>
      </c>
      <c r="D143" t="s">
        <v>86</v>
      </c>
      <c r="E143">
        <v>31624</v>
      </c>
      <c r="G143">
        <v>1</v>
      </c>
      <c r="H143">
        <v>23249175</v>
      </c>
      <c r="I143" t="s">
        <v>278</v>
      </c>
      <c r="J143">
        <v>0</v>
      </c>
      <c r="K143">
        <v>0</v>
      </c>
      <c r="L143">
        <v>0</v>
      </c>
      <c r="M143">
        <v>0</v>
      </c>
      <c r="N143">
        <v>0</v>
      </c>
      <c r="O143">
        <v>53.1</v>
      </c>
      <c r="P143">
        <v>0</v>
      </c>
      <c r="Q143">
        <v>0</v>
      </c>
      <c r="R143">
        <v>0</v>
      </c>
      <c r="S143">
        <v>0</v>
      </c>
      <c r="T143">
        <v>0</v>
      </c>
      <c r="U143">
        <v>0</v>
      </c>
      <c r="V143">
        <v>53.1</v>
      </c>
      <c r="W143" t="s">
        <v>492</v>
      </c>
      <c r="AK143" t="s">
        <v>704</v>
      </c>
    </row>
    <row r="144" spans="1:37" x14ac:dyDescent="0.25">
      <c r="A144" s="163">
        <v>46177</v>
      </c>
      <c r="B144" s="163">
        <v>46177</v>
      </c>
      <c r="C144">
        <v>3</v>
      </c>
      <c r="D144" t="s">
        <v>86</v>
      </c>
      <c r="E144">
        <v>31471</v>
      </c>
      <c r="G144">
        <v>1</v>
      </c>
      <c r="H144">
        <v>41816523</v>
      </c>
      <c r="I144" t="s">
        <v>151</v>
      </c>
      <c r="J144">
        <v>0</v>
      </c>
      <c r="K144">
        <v>0</v>
      </c>
      <c r="L144">
        <v>0</v>
      </c>
      <c r="M144">
        <v>0</v>
      </c>
      <c r="N144">
        <v>0</v>
      </c>
      <c r="O144">
        <v>82.9</v>
      </c>
      <c r="P144">
        <v>0</v>
      </c>
      <c r="Q144">
        <v>0</v>
      </c>
      <c r="R144">
        <v>0</v>
      </c>
      <c r="S144">
        <v>0</v>
      </c>
      <c r="T144">
        <v>0</v>
      </c>
      <c r="U144">
        <v>0</v>
      </c>
      <c r="V144">
        <v>82.9</v>
      </c>
      <c r="W144" t="s">
        <v>492</v>
      </c>
      <c r="AK144" t="s">
        <v>556</v>
      </c>
    </row>
    <row r="145" spans="1:37" x14ac:dyDescent="0.25">
      <c r="A145" s="163">
        <v>46193</v>
      </c>
      <c r="B145" s="163">
        <v>46193</v>
      </c>
      <c r="C145">
        <v>3</v>
      </c>
      <c r="D145" t="s">
        <v>86</v>
      </c>
      <c r="E145">
        <v>31711</v>
      </c>
      <c r="G145">
        <v>1</v>
      </c>
      <c r="H145">
        <v>45657648</v>
      </c>
      <c r="I145" t="s">
        <v>307</v>
      </c>
      <c r="J145">
        <v>0</v>
      </c>
      <c r="K145">
        <v>0</v>
      </c>
      <c r="L145">
        <v>0</v>
      </c>
      <c r="M145">
        <v>0</v>
      </c>
      <c r="N145">
        <v>0</v>
      </c>
      <c r="O145">
        <v>17.100000000000001</v>
      </c>
      <c r="P145">
        <v>0</v>
      </c>
      <c r="Q145">
        <v>0</v>
      </c>
      <c r="R145">
        <v>0</v>
      </c>
      <c r="S145">
        <v>0</v>
      </c>
      <c r="T145">
        <v>0</v>
      </c>
      <c r="U145">
        <v>0</v>
      </c>
      <c r="V145">
        <v>17.100000000000001</v>
      </c>
      <c r="W145" t="s">
        <v>492</v>
      </c>
      <c r="AK145" t="s">
        <v>790</v>
      </c>
    </row>
    <row r="146" spans="1:37" x14ac:dyDescent="0.25">
      <c r="A146" s="163">
        <v>46181</v>
      </c>
      <c r="B146" s="163">
        <v>46181</v>
      </c>
      <c r="C146">
        <v>3</v>
      </c>
      <c r="D146" t="s">
        <v>86</v>
      </c>
      <c r="E146">
        <v>31535</v>
      </c>
      <c r="G146">
        <v>1</v>
      </c>
      <c r="H146">
        <v>43567980</v>
      </c>
      <c r="I146" t="s">
        <v>208</v>
      </c>
      <c r="J146">
        <v>0</v>
      </c>
      <c r="K146">
        <v>0</v>
      </c>
      <c r="L146">
        <v>0</v>
      </c>
      <c r="M146">
        <v>0</v>
      </c>
      <c r="N146">
        <v>0</v>
      </c>
      <c r="O146">
        <v>41</v>
      </c>
      <c r="P146">
        <v>0</v>
      </c>
      <c r="Q146">
        <v>0</v>
      </c>
      <c r="R146">
        <v>0</v>
      </c>
      <c r="S146">
        <v>0</v>
      </c>
      <c r="T146">
        <v>0</v>
      </c>
      <c r="U146">
        <v>0</v>
      </c>
      <c r="V146">
        <v>41</v>
      </c>
      <c r="W146" t="s">
        <v>492</v>
      </c>
      <c r="AK146" t="s">
        <v>617</v>
      </c>
    </row>
    <row r="147" spans="1:37" x14ac:dyDescent="0.25">
      <c r="A147" s="163">
        <v>46182</v>
      </c>
      <c r="B147" s="163">
        <v>46182</v>
      </c>
      <c r="C147">
        <v>3</v>
      </c>
      <c r="D147" t="s">
        <v>86</v>
      </c>
      <c r="E147">
        <v>31551</v>
      </c>
      <c r="G147">
        <v>1</v>
      </c>
      <c r="H147">
        <v>73527025</v>
      </c>
      <c r="I147" t="s">
        <v>222</v>
      </c>
      <c r="J147">
        <v>0</v>
      </c>
      <c r="K147">
        <v>0</v>
      </c>
      <c r="L147">
        <v>0</v>
      </c>
      <c r="M147">
        <v>0</v>
      </c>
      <c r="N147">
        <v>0</v>
      </c>
      <c r="O147">
        <v>5</v>
      </c>
      <c r="P147">
        <v>0</v>
      </c>
      <c r="Q147">
        <v>0</v>
      </c>
      <c r="R147">
        <v>0</v>
      </c>
      <c r="S147">
        <v>0</v>
      </c>
      <c r="T147">
        <v>0</v>
      </c>
      <c r="U147">
        <v>0</v>
      </c>
      <c r="V147">
        <v>5</v>
      </c>
      <c r="W147" t="s">
        <v>492</v>
      </c>
      <c r="AK147" t="s">
        <v>633</v>
      </c>
    </row>
    <row r="148" spans="1:37" x14ac:dyDescent="0.25">
      <c r="A148" s="163">
        <v>46175</v>
      </c>
      <c r="B148" s="163">
        <v>46175</v>
      </c>
      <c r="C148">
        <v>3</v>
      </c>
      <c r="D148" t="s">
        <v>86</v>
      </c>
      <c r="E148">
        <v>31448</v>
      </c>
      <c r="G148">
        <v>1</v>
      </c>
      <c r="H148">
        <v>41831354</v>
      </c>
      <c r="I148" t="s">
        <v>130</v>
      </c>
      <c r="J148">
        <v>0</v>
      </c>
      <c r="K148">
        <v>0</v>
      </c>
      <c r="L148">
        <v>0</v>
      </c>
      <c r="M148">
        <v>0</v>
      </c>
      <c r="N148">
        <v>0</v>
      </c>
      <c r="O148">
        <v>6</v>
      </c>
      <c r="P148">
        <v>0</v>
      </c>
      <c r="Q148">
        <v>0</v>
      </c>
      <c r="R148">
        <v>0</v>
      </c>
      <c r="S148">
        <v>0</v>
      </c>
      <c r="T148">
        <v>0</v>
      </c>
      <c r="U148">
        <v>0</v>
      </c>
      <c r="V148">
        <v>6</v>
      </c>
      <c r="W148" t="s">
        <v>492</v>
      </c>
      <c r="AK148" t="s">
        <v>534</v>
      </c>
    </row>
    <row r="149" spans="1:37" x14ac:dyDescent="0.25">
      <c r="A149" s="163">
        <v>46175</v>
      </c>
      <c r="B149" s="163">
        <v>46175</v>
      </c>
      <c r="C149">
        <v>3</v>
      </c>
      <c r="D149" t="s">
        <v>86</v>
      </c>
      <c r="E149">
        <v>31439</v>
      </c>
      <c r="G149">
        <v>1</v>
      </c>
      <c r="H149">
        <v>19906076</v>
      </c>
      <c r="I149" t="s">
        <v>121</v>
      </c>
      <c r="J149">
        <v>0</v>
      </c>
      <c r="K149">
        <v>0</v>
      </c>
      <c r="L149">
        <v>0</v>
      </c>
      <c r="M149">
        <v>0</v>
      </c>
      <c r="N149">
        <v>0</v>
      </c>
      <c r="O149">
        <v>50</v>
      </c>
      <c r="P149">
        <v>0</v>
      </c>
      <c r="Q149">
        <v>0</v>
      </c>
      <c r="R149">
        <v>0</v>
      </c>
      <c r="S149">
        <v>0</v>
      </c>
      <c r="T149">
        <v>0</v>
      </c>
      <c r="U149">
        <v>0</v>
      </c>
      <c r="V149">
        <v>50</v>
      </c>
      <c r="W149" t="s">
        <v>492</v>
      </c>
      <c r="AK149" t="s">
        <v>526</v>
      </c>
    </row>
    <row r="150" spans="1:37" x14ac:dyDescent="0.25">
      <c r="A150" s="163">
        <v>46177</v>
      </c>
      <c r="B150" s="163">
        <v>46177</v>
      </c>
      <c r="C150">
        <v>3</v>
      </c>
      <c r="D150" t="s">
        <v>86</v>
      </c>
      <c r="E150">
        <v>31469</v>
      </c>
      <c r="G150">
        <v>1</v>
      </c>
      <c r="H150">
        <v>20710537</v>
      </c>
      <c r="I150" t="s">
        <v>149</v>
      </c>
      <c r="J150">
        <v>0</v>
      </c>
      <c r="K150">
        <v>0</v>
      </c>
      <c r="L150">
        <v>0</v>
      </c>
      <c r="M150">
        <v>0</v>
      </c>
      <c r="N150">
        <v>0</v>
      </c>
      <c r="O150">
        <v>60</v>
      </c>
      <c r="P150">
        <v>0</v>
      </c>
      <c r="Q150">
        <v>0</v>
      </c>
      <c r="R150">
        <v>0</v>
      </c>
      <c r="S150">
        <v>0</v>
      </c>
      <c r="T150">
        <v>0</v>
      </c>
      <c r="U150">
        <v>0</v>
      </c>
      <c r="V150">
        <v>60</v>
      </c>
      <c r="W150" t="s">
        <v>492</v>
      </c>
      <c r="AK150" t="s">
        <v>554</v>
      </c>
    </row>
    <row r="151" spans="1:37" x14ac:dyDescent="0.25">
      <c r="A151" s="163">
        <v>46175</v>
      </c>
      <c r="B151" s="163">
        <v>46175</v>
      </c>
      <c r="C151">
        <v>3</v>
      </c>
      <c r="D151" t="s">
        <v>86</v>
      </c>
      <c r="E151">
        <v>31433</v>
      </c>
      <c r="G151">
        <v>6</v>
      </c>
      <c r="H151">
        <v>20568173016</v>
      </c>
      <c r="I151" t="s">
        <v>116</v>
      </c>
      <c r="J151">
        <v>0</v>
      </c>
      <c r="K151">
        <v>0</v>
      </c>
      <c r="L151">
        <v>0</v>
      </c>
      <c r="M151">
        <v>0</v>
      </c>
      <c r="N151">
        <v>0</v>
      </c>
      <c r="O151">
        <v>15</v>
      </c>
      <c r="P151">
        <v>0</v>
      </c>
      <c r="Q151">
        <v>0</v>
      </c>
      <c r="R151">
        <v>0</v>
      </c>
      <c r="S151">
        <v>0</v>
      </c>
      <c r="T151">
        <v>0</v>
      </c>
      <c r="U151">
        <v>0</v>
      </c>
      <c r="V151">
        <v>15</v>
      </c>
      <c r="W151" t="s">
        <v>492</v>
      </c>
      <c r="AK151" t="s">
        <v>520</v>
      </c>
    </row>
    <row r="152" spans="1:37" x14ac:dyDescent="0.25">
      <c r="A152" s="163">
        <v>46188</v>
      </c>
      <c r="B152" s="163">
        <v>46188</v>
      </c>
      <c r="C152">
        <v>3</v>
      </c>
      <c r="D152" t="s">
        <v>86</v>
      </c>
      <c r="E152">
        <v>31625</v>
      </c>
      <c r="G152">
        <v>1</v>
      </c>
      <c r="H152">
        <v>20000656</v>
      </c>
      <c r="I152" t="s">
        <v>279</v>
      </c>
      <c r="J152">
        <v>0</v>
      </c>
      <c r="K152">
        <v>0</v>
      </c>
      <c r="L152">
        <v>0</v>
      </c>
      <c r="M152">
        <v>0</v>
      </c>
      <c r="N152">
        <v>0</v>
      </c>
      <c r="O152">
        <v>117.9</v>
      </c>
      <c r="P152">
        <v>0</v>
      </c>
      <c r="Q152">
        <v>0</v>
      </c>
      <c r="R152">
        <v>0</v>
      </c>
      <c r="S152">
        <v>0</v>
      </c>
      <c r="T152">
        <v>0</v>
      </c>
      <c r="U152">
        <v>0</v>
      </c>
      <c r="V152">
        <v>117.9</v>
      </c>
      <c r="W152" t="s">
        <v>492</v>
      </c>
      <c r="AK152" t="s">
        <v>705</v>
      </c>
    </row>
    <row r="153" spans="1:37" x14ac:dyDescent="0.25">
      <c r="A153" s="163">
        <v>46196</v>
      </c>
      <c r="B153" s="163">
        <v>46196</v>
      </c>
      <c r="C153">
        <v>3</v>
      </c>
      <c r="D153" t="s">
        <v>86</v>
      </c>
      <c r="E153">
        <v>31751</v>
      </c>
      <c r="G153">
        <v>1</v>
      </c>
      <c r="H153">
        <v>20121604</v>
      </c>
      <c r="I153" t="s">
        <v>375</v>
      </c>
      <c r="J153">
        <v>0</v>
      </c>
      <c r="K153">
        <v>0</v>
      </c>
      <c r="L153">
        <v>0</v>
      </c>
      <c r="M153">
        <v>0</v>
      </c>
      <c r="N153">
        <v>0</v>
      </c>
      <c r="O153">
        <v>190.6</v>
      </c>
      <c r="P153">
        <v>0</v>
      </c>
      <c r="Q153">
        <v>0</v>
      </c>
      <c r="R153">
        <v>0</v>
      </c>
      <c r="S153">
        <v>0</v>
      </c>
      <c r="T153">
        <v>0</v>
      </c>
      <c r="U153">
        <v>0</v>
      </c>
      <c r="V153">
        <v>190.6</v>
      </c>
      <c r="W153" t="s">
        <v>492</v>
      </c>
      <c r="AK153" t="s">
        <v>831</v>
      </c>
    </row>
    <row r="154" spans="1:37" x14ac:dyDescent="0.25">
      <c r="A154" s="163">
        <v>46189</v>
      </c>
      <c r="B154" s="163">
        <v>46189</v>
      </c>
      <c r="C154">
        <v>3</v>
      </c>
      <c r="D154" t="s">
        <v>86</v>
      </c>
      <c r="E154">
        <v>31636</v>
      </c>
      <c r="G154">
        <v>1</v>
      </c>
      <c r="H154">
        <v>46429743</v>
      </c>
      <c r="I154" t="s">
        <v>287</v>
      </c>
      <c r="J154">
        <v>0</v>
      </c>
      <c r="K154">
        <v>0</v>
      </c>
      <c r="L154">
        <v>0</v>
      </c>
      <c r="M154">
        <v>0</v>
      </c>
      <c r="N154">
        <v>0</v>
      </c>
      <c r="O154">
        <v>18</v>
      </c>
      <c r="P154">
        <v>0</v>
      </c>
      <c r="Q154">
        <v>0</v>
      </c>
      <c r="R154">
        <v>0</v>
      </c>
      <c r="S154">
        <v>0</v>
      </c>
      <c r="T154">
        <v>0</v>
      </c>
      <c r="U154">
        <v>0</v>
      </c>
      <c r="V154">
        <v>18</v>
      </c>
      <c r="W154" t="s">
        <v>492</v>
      </c>
      <c r="AK154" t="s">
        <v>716</v>
      </c>
    </row>
    <row r="155" spans="1:37" x14ac:dyDescent="0.25">
      <c r="A155" s="163">
        <v>46196</v>
      </c>
      <c r="B155" s="163">
        <v>46196</v>
      </c>
      <c r="C155">
        <v>3</v>
      </c>
      <c r="D155" t="s">
        <v>86</v>
      </c>
      <c r="E155">
        <v>31732</v>
      </c>
      <c r="G155">
        <v>6</v>
      </c>
      <c r="H155">
        <v>20487125921</v>
      </c>
      <c r="I155" t="s">
        <v>950</v>
      </c>
      <c r="J155">
        <v>0</v>
      </c>
      <c r="K155">
        <v>0</v>
      </c>
      <c r="L155">
        <v>0</v>
      </c>
      <c r="M155">
        <v>0</v>
      </c>
      <c r="N155">
        <v>0</v>
      </c>
      <c r="O155">
        <v>25</v>
      </c>
      <c r="P155">
        <v>0</v>
      </c>
      <c r="Q155">
        <v>0</v>
      </c>
      <c r="R155">
        <v>0</v>
      </c>
      <c r="S155">
        <v>0</v>
      </c>
      <c r="T155">
        <v>0</v>
      </c>
      <c r="U155">
        <v>0</v>
      </c>
      <c r="V155">
        <v>25</v>
      </c>
      <c r="W155" t="s">
        <v>492</v>
      </c>
      <c r="AK155" t="s">
        <v>811</v>
      </c>
    </row>
    <row r="156" spans="1:37" x14ac:dyDescent="0.25">
      <c r="A156" s="163">
        <v>46189</v>
      </c>
      <c r="B156" s="163">
        <v>46189</v>
      </c>
      <c r="C156">
        <v>3</v>
      </c>
      <c r="D156" t="s">
        <v>86</v>
      </c>
      <c r="E156">
        <v>31635</v>
      </c>
      <c r="G156">
        <v>6</v>
      </c>
      <c r="H156">
        <v>20602228739</v>
      </c>
      <c r="I156" t="s">
        <v>117</v>
      </c>
      <c r="J156">
        <v>0</v>
      </c>
      <c r="K156">
        <v>0</v>
      </c>
      <c r="L156">
        <v>0</v>
      </c>
      <c r="M156">
        <v>0</v>
      </c>
      <c r="N156">
        <v>0</v>
      </c>
      <c r="O156">
        <v>23.6</v>
      </c>
      <c r="P156">
        <v>0</v>
      </c>
      <c r="Q156">
        <v>0</v>
      </c>
      <c r="R156">
        <v>0</v>
      </c>
      <c r="S156">
        <v>0</v>
      </c>
      <c r="T156">
        <v>0</v>
      </c>
      <c r="U156">
        <v>0</v>
      </c>
      <c r="V156">
        <v>23.6</v>
      </c>
      <c r="W156" t="s">
        <v>492</v>
      </c>
      <c r="AK156" t="s">
        <v>715</v>
      </c>
    </row>
    <row r="157" spans="1:37" x14ac:dyDescent="0.25">
      <c r="A157" s="163">
        <v>46175</v>
      </c>
      <c r="B157" s="163">
        <v>46175</v>
      </c>
      <c r="C157">
        <v>3</v>
      </c>
      <c r="D157" t="s">
        <v>86</v>
      </c>
      <c r="E157">
        <v>31451</v>
      </c>
      <c r="G157">
        <v>1</v>
      </c>
      <c r="H157">
        <v>19989661</v>
      </c>
      <c r="I157" t="s">
        <v>133</v>
      </c>
      <c r="J157">
        <v>0</v>
      </c>
      <c r="K157">
        <v>0</v>
      </c>
      <c r="L157">
        <v>0</v>
      </c>
      <c r="M157">
        <v>0</v>
      </c>
      <c r="N157">
        <v>0</v>
      </c>
      <c r="O157">
        <v>10</v>
      </c>
      <c r="P157">
        <v>0</v>
      </c>
      <c r="Q157">
        <v>0</v>
      </c>
      <c r="R157">
        <v>0</v>
      </c>
      <c r="S157">
        <v>0</v>
      </c>
      <c r="T157">
        <v>0</v>
      </c>
      <c r="U157">
        <v>0</v>
      </c>
      <c r="V157">
        <v>10</v>
      </c>
      <c r="W157" t="s">
        <v>492</v>
      </c>
      <c r="AK157" t="s">
        <v>537</v>
      </c>
    </row>
    <row r="158" spans="1:37" x14ac:dyDescent="0.25">
      <c r="A158" s="163">
        <v>46191</v>
      </c>
      <c r="B158" s="163">
        <v>46191</v>
      </c>
      <c r="C158">
        <v>3</v>
      </c>
      <c r="D158" t="s">
        <v>86</v>
      </c>
      <c r="E158">
        <v>31673</v>
      </c>
      <c r="G158">
        <v>6</v>
      </c>
      <c r="H158">
        <v>20518164717</v>
      </c>
      <c r="I158" t="s">
        <v>118</v>
      </c>
      <c r="J158">
        <v>0</v>
      </c>
      <c r="K158">
        <v>0</v>
      </c>
      <c r="L158">
        <v>0</v>
      </c>
      <c r="M158">
        <v>0</v>
      </c>
      <c r="N158">
        <v>0</v>
      </c>
      <c r="O158">
        <v>11.2</v>
      </c>
      <c r="P158">
        <v>0</v>
      </c>
      <c r="Q158">
        <v>0</v>
      </c>
      <c r="R158">
        <v>0</v>
      </c>
      <c r="S158">
        <v>0</v>
      </c>
      <c r="T158">
        <v>0</v>
      </c>
      <c r="U158">
        <v>0</v>
      </c>
      <c r="V158">
        <v>11.2</v>
      </c>
      <c r="W158" t="s">
        <v>492</v>
      </c>
      <c r="AK158" t="s">
        <v>752</v>
      </c>
    </row>
    <row r="159" spans="1:37" x14ac:dyDescent="0.25">
      <c r="A159" s="163">
        <v>46190</v>
      </c>
      <c r="B159" s="163">
        <v>46190</v>
      </c>
      <c r="C159">
        <v>3</v>
      </c>
      <c r="D159" t="s">
        <v>86</v>
      </c>
      <c r="E159">
        <v>31668</v>
      </c>
      <c r="G159">
        <v>1</v>
      </c>
      <c r="H159">
        <v>19973380</v>
      </c>
      <c r="I159" t="s">
        <v>311</v>
      </c>
      <c r="J159">
        <v>0</v>
      </c>
      <c r="K159">
        <v>0</v>
      </c>
      <c r="L159">
        <v>0</v>
      </c>
      <c r="M159">
        <v>0</v>
      </c>
      <c r="N159">
        <v>0</v>
      </c>
      <c r="O159">
        <v>17</v>
      </c>
      <c r="P159">
        <v>0</v>
      </c>
      <c r="Q159">
        <v>0</v>
      </c>
      <c r="R159">
        <v>0</v>
      </c>
      <c r="S159">
        <v>0</v>
      </c>
      <c r="T159">
        <v>0</v>
      </c>
      <c r="U159">
        <v>0</v>
      </c>
      <c r="V159">
        <v>17</v>
      </c>
      <c r="W159" t="s">
        <v>492</v>
      </c>
      <c r="AK159" t="s">
        <v>747</v>
      </c>
    </row>
    <row r="160" spans="1:37" x14ac:dyDescent="0.25">
      <c r="A160" s="163">
        <v>46177</v>
      </c>
      <c r="B160" s="163">
        <v>46177</v>
      </c>
      <c r="C160">
        <v>3</v>
      </c>
      <c r="D160" t="s">
        <v>86</v>
      </c>
      <c r="E160">
        <v>31472</v>
      </c>
      <c r="G160">
        <v>1</v>
      </c>
      <c r="H160">
        <v>46392706</v>
      </c>
      <c r="I160" t="s">
        <v>152</v>
      </c>
      <c r="J160">
        <v>0</v>
      </c>
      <c r="K160">
        <v>0</v>
      </c>
      <c r="L160">
        <v>0</v>
      </c>
      <c r="M160">
        <v>0</v>
      </c>
      <c r="N160">
        <v>0</v>
      </c>
      <c r="O160">
        <v>10</v>
      </c>
      <c r="P160">
        <v>0</v>
      </c>
      <c r="Q160">
        <v>0</v>
      </c>
      <c r="R160">
        <v>0</v>
      </c>
      <c r="S160">
        <v>0</v>
      </c>
      <c r="T160">
        <v>0</v>
      </c>
      <c r="U160">
        <v>0</v>
      </c>
      <c r="V160">
        <v>10</v>
      </c>
      <c r="W160" t="s">
        <v>492</v>
      </c>
      <c r="AK160" t="s">
        <v>557</v>
      </c>
    </row>
    <row r="161" spans="1:37" x14ac:dyDescent="0.25">
      <c r="A161" s="163">
        <v>46203</v>
      </c>
      <c r="B161" s="163">
        <v>46203</v>
      </c>
      <c r="C161">
        <v>3</v>
      </c>
      <c r="D161" t="s">
        <v>86</v>
      </c>
      <c r="E161">
        <v>31828</v>
      </c>
      <c r="G161">
        <v>1</v>
      </c>
      <c r="H161">
        <v>46475149</v>
      </c>
      <c r="I161" t="s">
        <v>439</v>
      </c>
      <c r="J161">
        <v>0</v>
      </c>
      <c r="K161">
        <v>0</v>
      </c>
      <c r="L161">
        <v>0</v>
      </c>
      <c r="M161">
        <v>0</v>
      </c>
      <c r="N161">
        <v>0</v>
      </c>
      <c r="O161">
        <v>69.900000000000006</v>
      </c>
      <c r="P161">
        <v>0</v>
      </c>
      <c r="Q161">
        <v>0</v>
      </c>
      <c r="R161">
        <v>0</v>
      </c>
      <c r="S161">
        <v>0</v>
      </c>
      <c r="T161">
        <v>0</v>
      </c>
      <c r="U161">
        <v>0</v>
      </c>
      <c r="V161">
        <v>69.900000000000006</v>
      </c>
      <c r="W161" t="s">
        <v>492</v>
      </c>
      <c r="AK161" t="s">
        <v>907</v>
      </c>
    </row>
    <row r="162" spans="1:37" x14ac:dyDescent="0.25">
      <c r="A162" s="163">
        <v>46193</v>
      </c>
      <c r="B162" s="163">
        <v>46193</v>
      </c>
      <c r="C162">
        <v>3</v>
      </c>
      <c r="D162" t="s">
        <v>86</v>
      </c>
      <c r="E162">
        <v>31710</v>
      </c>
      <c r="G162">
        <v>1</v>
      </c>
      <c r="H162">
        <v>20405892</v>
      </c>
      <c r="I162" t="s">
        <v>345</v>
      </c>
      <c r="J162">
        <v>0</v>
      </c>
      <c r="K162">
        <v>0</v>
      </c>
      <c r="L162">
        <v>0</v>
      </c>
      <c r="M162">
        <v>0</v>
      </c>
      <c r="N162">
        <v>0</v>
      </c>
      <c r="O162">
        <v>82.5</v>
      </c>
      <c r="P162">
        <v>0</v>
      </c>
      <c r="Q162">
        <v>0</v>
      </c>
      <c r="R162">
        <v>0</v>
      </c>
      <c r="S162">
        <v>0</v>
      </c>
      <c r="T162">
        <v>0</v>
      </c>
      <c r="U162">
        <v>0</v>
      </c>
      <c r="V162">
        <v>82.5</v>
      </c>
      <c r="W162" t="s">
        <v>492</v>
      </c>
      <c r="AK162" t="s">
        <v>789</v>
      </c>
    </row>
    <row r="163" spans="1:37" x14ac:dyDescent="0.25">
      <c r="A163" s="163">
        <v>46175</v>
      </c>
      <c r="B163" s="163">
        <v>46175</v>
      </c>
      <c r="C163">
        <v>3</v>
      </c>
      <c r="D163" t="s">
        <v>86</v>
      </c>
      <c r="E163">
        <v>31440</v>
      </c>
      <c r="G163">
        <v>1</v>
      </c>
      <c r="H163">
        <v>46449918</v>
      </c>
      <c r="I163" t="s">
        <v>122</v>
      </c>
      <c r="J163">
        <v>0</v>
      </c>
      <c r="K163">
        <v>0</v>
      </c>
      <c r="L163">
        <v>0</v>
      </c>
      <c r="M163">
        <v>0</v>
      </c>
      <c r="N163">
        <v>0</v>
      </c>
      <c r="O163">
        <v>13</v>
      </c>
      <c r="P163">
        <v>0</v>
      </c>
      <c r="Q163">
        <v>0</v>
      </c>
      <c r="R163">
        <v>0</v>
      </c>
      <c r="S163">
        <v>0</v>
      </c>
      <c r="T163">
        <v>0</v>
      </c>
      <c r="U163">
        <v>0</v>
      </c>
      <c r="V163">
        <v>13</v>
      </c>
      <c r="W163" t="s">
        <v>492</v>
      </c>
      <c r="AK163" t="s">
        <v>527</v>
      </c>
    </row>
    <row r="164" spans="1:37" x14ac:dyDescent="0.25">
      <c r="A164" s="163">
        <v>46177</v>
      </c>
      <c r="B164" s="163">
        <v>46177</v>
      </c>
      <c r="C164">
        <v>3</v>
      </c>
      <c r="D164" t="s">
        <v>86</v>
      </c>
      <c r="E164">
        <v>31464</v>
      </c>
      <c r="G164">
        <v>1</v>
      </c>
      <c r="H164">
        <v>45033779</v>
      </c>
      <c r="I164" t="s">
        <v>145</v>
      </c>
      <c r="J164">
        <v>0</v>
      </c>
      <c r="K164">
        <v>0</v>
      </c>
      <c r="L164">
        <v>0</v>
      </c>
      <c r="M164">
        <v>0</v>
      </c>
      <c r="N164">
        <v>0</v>
      </c>
      <c r="O164">
        <v>4.3</v>
      </c>
      <c r="P164">
        <v>0</v>
      </c>
      <c r="Q164">
        <v>0</v>
      </c>
      <c r="R164">
        <v>0</v>
      </c>
      <c r="S164">
        <v>0</v>
      </c>
      <c r="T164">
        <v>0</v>
      </c>
      <c r="U164">
        <v>0</v>
      </c>
      <c r="V164">
        <v>4.3</v>
      </c>
      <c r="W164" t="s">
        <v>492</v>
      </c>
      <c r="AK164" t="s">
        <v>549</v>
      </c>
    </row>
    <row r="165" spans="1:37" x14ac:dyDescent="0.25">
      <c r="A165" s="163">
        <v>46189</v>
      </c>
      <c r="B165" s="163">
        <v>46189</v>
      </c>
      <c r="C165">
        <v>3</v>
      </c>
      <c r="D165" t="s">
        <v>86</v>
      </c>
      <c r="E165">
        <v>31637</v>
      </c>
      <c r="G165">
        <v>1</v>
      </c>
      <c r="H165">
        <v>23249175</v>
      </c>
      <c r="I165" t="s">
        <v>278</v>
      </c>
      <c r="J165">
        <v>0</v>
      </c>
      <c r="K165">
        <v>0</v>
      </c>
      <c r="L165">
        <v>0</v>
      </c>
      <c r="M165">
        <v>0</v>
      </c>
      <c r="N165">
        <v>0</v>
      </c>
      <c r="O165">
        <v>53.1</v>
      </c>
      <c r="P165">
        <v>0</v>
      </c>
      <c r="Q165">
        <v>0</v>
      </c>
      <c r="R165">
        <v>0</v>
      </c>
      <c r="S165">
        <v>0</v>
      </c>
      <c r="T165">
        <v>0</v>
      </c>
      <c r="U165">
        <v>0</v>
      </c>
      <c r="V165">
        <v>53.1</v>
      </c>
      <c r="W165" t="s">
        <v>492</v>
      </c>
      <c r="AK165" t="s">
        <v>717</v>
      </c>
    </row>
    <row r="166" spans="1:37" x14ac:dyDescent="0.25">
      <c r="A166" s="163">
        <v>46175</v>
      </c>
      <c r="B166" s="163">
        <v>46175</v>
      </c>
      <c r="C166">
        <v>3</v>
      </c>
      <c r="D166" t="s">
        <v>86</v>
      </c>
      <c r="E166">
        <v>31437</v>
      </c>
      <c r="G166">
        <v>1</v>
      </c>
      <c r="H166">
        <v>21138263</v>
      </c>
      <c r="I166" t="s">
        <v>119</v>
      </c>
      <c r="J166">
        <v>0</v>
      </c>
      <c r="K166">
        <v>0</v>
      </c>
      <c r="L166">
        <v>0</v>
      </c>
      <c r="M166">
        <v>0</v>
      </c>
      <c r="N166">
        <v>0</v>
      </c>
      <c r="O166">
        <v>102.2</v>
      </c>
      <c r="P166">
        <v>0</v>
      </c>
      <c r="Q166">
        <v>0</v>
      </c>
      <c r="R166">
        <v>0</v>
      </c>
      <c r="S166">
        <v>0</v>
      </c>
      <c r="T166">
        <v>0</v>
      </c>
      <c r="U166">
        <v>0</v>
      </c>
      <c r="V166">
        <v>102.2</v>
      </c>
      <c r="W166" t="s">
        <v>492</v>
      </c>
      <c r="AK166" t="s">
        <v>524</v>
      </c>
    </row>
    <row r="167" spans="1:37" x14ac:dyDescent="0.25">
      <c r="A167" s="163">
        <v>46203</v>
      </c>
      <c r="B167" s="163">
        <v>46203</v>
      </c>
      <c r="C167">
        <v>3</v>
      </c>
      <c r="D167" t="s">
        <v>86</v>
      </c>
      <c r="E167">
        <v>31827</v>
      </c>
      <c r="G167">
        <v>1</v>
      </c>
      <c r="H167">
        <v>63001373</v>
      </c>
      <c r="I167" t="s">
        <v>438</v>
      </c>
      <c r="J167">
        <v>0</v>
      </c>
      <c r="K167">
        <v>0</v>
      </c>
      <c r="L167">
        <v>0</v>
      </c>
      <c r="M167">
        <v>0</v>
      </c>
      <c r="N167">
        <v>0</v>
      </c>
      <c r="O167">
        <v>7</v>
      </c>
      <c r="P167">
        <v>0</v>
      </c>
      <c r="Q167">
        <v>0</v>
      </c>
      <c r="R167">
        <v>0</v>
      </c>
      <c r="S167">
        <v>0</v>
      </c>
      <c r="T167">
        <v>0</v>
      </c>
      <c r="U167">
        <v>0</v>
      </c>
      <c r="V167">
        <v>7</v>
      </c>
      <c r="W167" t="s">
        <v>492</v>
      </c>
      <c r="AK167" t="s">
        <v>906</v>
      </c>
    </row>
    <row r="168" spans="1:37" x14ac:dyDescent="0.25">
      <c r="A168" s="163">
        <v>46175</v>
      </c>
      <c r="B168" s="163">
        <v>46175</v>
      </c>
      <c r="C168">
        <v>3</v>
      </c>
      <c r="D168" t="s">
        <v>86</v>
      </c>
      <c r="E168">
        <v>31441</v>
      </c>
      <c r="G168">
        <v>1</v>
      </c>
      <c r="H168">
        <v>46260545</v>
      </c>
      <c r="I168" t="s">
        <v>123</v>
      </c>
      <c r="J168">
        <v>0</v>
      </c>
      <c r="K168">
        <v>0</v>
      </c>
      <c r="L168">
        <v>0</v>
      </c>
      <c r="M168">
        <v>0</v>
      </c>
      <c r="N168">
        <v>0</v>
      </c>
      <c r="O168">
        <v>10</v>
      </c>
      <c r="P168">
        <v>0</v>
      </c>
      <c r="Q168">
        <v>0</v>
      </c>
      <c r="R168">
        <v>0</v>
      </c>
      <c r="S168">
        <v>0</v>
      </c>
      <c r="T168">
        <v>0</v>
      </c>
      <c r="U168">
        <v>0</v>
      </c>
      <c r="V168">
        <v>10</v>
      </c>
      <c r="W168" t="s">
        <v>492</v>
      </c>
      <c r="AK168" t="s">
        <v>528</v>
      </c>
    </row>
    <row r="169" spans="1:37" x14ac:dyDescent="0.25">
      <c r="A169" s="163">
        <v>46188</v>
      </c>
      <c r="B169" s="163">
        <v>46188</v>
      </c>
      <c r="C169">
        <v>3</v>
      </c>
      <c r="D169" t="s">
        <v>86</v>
      </c>
      <c r="E169">
        <v>31620</v>
      </c>
      <c r="G169">
        <v>6</v>
      </c>
      <c r="H169">
        <v>20568173016</v>
      </c>
      <c r="I169" t="s">
        <v>116</v>
      </c>
      <c r="J169">
        <v>0</v>
      </c>
      <c r="K169">
        <v>0</v>
      </c>
      <c r="L169">
        <v>0</v>
      </c>
      <c r="M169">
        <v>0</v>
      </c>
      <c r="N169">
        <v>0</v>
      </c>
      <c r="O169">
        <v>50</v>
      </c>
      <c r="P169">
        <v>0</v>
      </c>
      <c r="Q169">
        <v>0</v>
      </c>
      <c r="R169">
        <v>0</v>
      </c>
      <c r="S169">
        <v>0</v>
      </c>
      <c r="T169">
        <v>0</v>
      </c>
      <c r="U169">
        <v>0</v>
      </c>
      <c r="V169">
        <v>50</v>
      </c>
      <c r="W169" t="s">
        <v>492</v>
      </c>
      <c r="AK169" t="s">
        <v>700</v>
      </c>
    </row>
    <row r="170" spans="1:37" x14ac:dyDescent="0.25">
      <c r="A170" s="163">
        <v>46196</v>
      </c>
      <c r="B170" s="163">
        <v>46196</v>
      </c>
      <c r="C170">
        <v>3</v>
      </c>
      <c r="D170" t="s">
        <v>86</v>
      </c>
      <c r="E170">
        <v>31744</v>
      </c>
      <c r="G170">
        <v>1</v>
      </c>
      <c r="H170">
        <v>41227950</v>
      </c>
      <c r="I170" t="s">
        <v>368</v>
      </c>
      <c r="J170">
        <v>0</v>
      </c>
      <c r="K170">
        <v>0</v>
      </c>
      <c r="L170">
        <v>0</v>
      </c>
      <c r="M170">
        <v>0</v>
      </c>
      <c r="N170">
        <v>0</v>
      </c>
      <c r="O170">
        <v>9</v>
      </c>
      <c r="P170">
        <v>0</v>
      </c>
      <c r="Q170">
        <v>0</v>
      </c>
      <c r="R170">
        <v>0</v>
      </c>
      <c r="S170">
        <v>0</v>
      </c>
      <c r="T170">
        <v>0</v>
      </c>
      <c r="U170">
        <v>0</v>
      </c>
      <c r="V170">
        <v>9</v>
      </c>
      <c r="W170" t="s">
        <v>492</v>
      </c>
      <c r="AK170" t="s">
        <v>824</v>
      </c>
    </row>
    <row r="171" spans="1:37" x14ac:dyDescent="0.25">
      <c r="A171" s="163">
        <v>46177</v>
      </c>
      <c r="B171" s="163">
        <v>46177</v>
      </c>
      <c r="C171">
        <v>3</v>
      </c>
      <c r="D171" t="s">
        <v>86</v>
      </c>
      <c r="E171">
        <v>31470</v>
      </c>
      <c r="G171">
        <v>1</v>
      </c>
      <c r="H171">
        <v>45248944</v>
      </c>
      <c r="I171" t="s">
        <v>150</v>
      </c>
      <c r="J171">
        <v>0</v>
      </c>
      <c r="K171">
        <v>0</v>
      </c>
      <c r="L171">
        <v>0</v>
      </c>
      <c r="M171">
        <v>0</v>
      </c>
      <c r="N171">
        <v>0</v>
      </c>
      <c r="O171">
        <v>100</v>
      </c>
      <c r="P171">
        <v>0</v>
      </c>
      <c r="Q171">
        <v>0</v>
      </c>
      <c r="R171">
        <v>0</v>
      </c>
      <c r="S171">
        <v>0</v>
      </c>
      <c r="T171">
        <v>0</v>
      </c>
      <c r="U171">
        <v>0</v>
      </c>
      <c r="V171">
        <v>100</v>
      </c>
      <c r="W171" t="s">
        <v>492</v>
      </c>
      <c r="AK171" t="s">
        <v>555</v>
      </c>
    </row>
    <row r="172" spans="1:37" x14ac:dyDescent="0.25">
      <c r="A172" s="163">
        <v>46190</v>
      </c>
      <c r="B172" s="163">
        <v>46190</v>
      </c>
      <c r="C172">
        <v>3</v>
      </c>
      <c r="D172" t="s">
        <v>86</v>
      </c>
      <c r="E172">
        <v>31669</v>
      </c>
      <c r="G172">
        <v>1</v>
      </c>
      <c r="H172">
        <v>75790766</v>
      </c>
      <c r="I172" t="s">
        <v>312</v>
      </c>
      <c r="J172">
        <v>0</v>
      </c>
      <c r="K172">
        <v>0</v>
      </c>
      <c r="L172">
        <v>0</v>
      </c>
      <c r="M172">
        <v>0</v>
      </c>
      <c r="N172">
        <v>0</v>
      </c>
      <c r="O172">
        <v>10</v>
      </c>
      <c r="P172">
        <v>0</v>
      </c>
      <c r="Q172">
        <v>0</v>
      </c>
      <c r="R172">
        <v>0</v>
      </c>
      <c r="S172">
        <v>0</v>
      </c>
      <c r="T172">
        <v>0</v>
      </c>
      <c r="U172">
        <v>0</v>
      </c>
      <c r="V172">
        <v>10</v>
      </c>
      <c r="W172" t="s">
        <v>492</v>
      </c>
      <c r="AK172" t="s">
        <v>748</v>
      </c>
    </row>
    <row r="173" spans="1:37" x14ac:dyDescent="0.25">
      <c r="A173" s="163">
        <v>46203</v>
      </c>
      <c r="B173" s="163">
        <v>46203</v>
      </c>
      <c r="C173">
        <v>3</v>
      </c>
      <c r="D173" t="s">
        <v>86</v>
      </c>
      <c r="E173">
        <v>31830</v>
      </c>
      <c r="G173">
        <v>1</v>
      </c>
      <c r="H173">
        <v>41677593</v>
      </c>
      <c r="I173" t="s">
        <v>441</v>
      </c>
      <c r="J173">
        <v>0</v>
      </c>
      <c r="K173">
        <v>0</v>
      </c>
      <c r="L173">
        <v>0</v>
      </c>
      <c r="M173">
        <v>0</v>
      </c>
      <c r="N173">
        <v>0</v>
      </c>
      <c r="O173">
        <v>25</v>
      </c>
      <c r="P173">
        <v>0</v>
      </c>
      <c r="Q173">
        <v>0</v>
      </c>
      <c r="R173">
        <v>0</v>
      </c>
      <c r="S173">
        <v>0</v>
      </c>
      <c r="T173">
        <v>0</v>
      </c>
      <c r="U173">
        <v>0</v>
      </c>
      <c r="V173">
        <v>25</v>
      </c>
      <c r="W173" t="s">
        <v>492</v>
      </c>
      <c r="AK173" t="s">
        <v>909</v>
      </c>
    </row>
    <row r="174" spans="1:37" x14ac:dyDescent="0.25">
      <c r="A174" s="163">
        <v>46181</v>
      </c>
      <c r="B174" s="163">
        <v>46181</v>
      </c>
      <c r="C174">
        <v>3</v>
      </c>
      <c r="D174" t="s">
        <v>86</v>
      </c>
      <c r="E174">
        <v>31524</v>
      </c>
      <c r="G174">
        <v>1</v>
      </c>
      <c r="H174">
        <v>41773773</v>
      </c>
      <c r="I174" t="s">
        <v>198</v>
      </c>
      <c r="J174">
        <v>0</v>
      </c>
      <c r="K174">
        <v>0</v>
      </c>
      <c r="L174">
        <v>0</v>
      </c>
      <c r="M174">
        <v>0</v>
      </c>
      <c r="N174">
        <v>0</v>
      </c>
      <c r="O174">
        <v>12.7</v>
      </c>
      <c r="P174">
        <v>0</v>
      </c>
      <c r="Q174">
        <v>0</v>
      </c>
      <c r="R174">
        <v>0</v>
      </c>
      <c r="S174">
        <v>0</v>
      </c>
      <c r="T174">
        <v>0</v>
      </c>
      <c r="U174">
        <v>0</v>
      </c>
      <c r="V174">
        <v>12.7</v>
      </c>
      <c r="W174" t="s">
        <v>492</v>
      </c>
      <c r="AK174" t="s">
        <v>606</v>
      </c>
    </row>
    <row r="175" spans="1:37" x14ac:dyDescent="0.25">
      <c r="A175" s="163">
        <v>46196</v>
      </c>
      <c r="B175" s="163">
        <v>46196</v>
      </c>
      <c r="C175">
        <v>3</v>
      </c>
      <c r="D175" t="s">
        <v>86</v>
      </c>
      <c r="E175">
        <v>31735</v>
      </c>
      <c r="G175">
        <v>6</v>
      </c>
      <c r="H175">
        <v>20603590687</v>
      </c>
      <c r="I175" t="s">
        <v>137</v>
      </c>
      <c r="J175">
        <v>0</v>
      </c>
      <c r="K175">
        <v>0</v>
      </c>
      <c r="L175">
        <v>0</v>
      </c>
      <c r="M175">
        <v>0</v>
      </c>
      <c r="N175">
        <v>0</v>
      </c>
      <c r="O175">
        <v>20</v>
      </c>
      <c r="P175">
        <v>0</v>
      </c>
      <c r="Q175">
        <v>0</v>
      </c>
      <c r="R175">
        <v>0</v>
      </c>
      <c r="S175">
        <v>0</v>
      </c>
      <c r="T175">
        <v>0</v>
      </c>
      <c r="U175">
        <v>0</v>
      </c>
      <c r="V175">
        <v>20</v>
      </c>
      <c r="W175" t="s">
        <v>492</v>
      </c>
      <c r="AK175" t="s">
        <v>815</v>
      </c>
    </row>
    <row r="176" spans="1:37" x14ac:dyDescent="0.25">
      <c r="A176" s="163">
        <v>46203</v>
      </c>
      <c r="B176" s="163">
        <v>46203</v>
      </c>
      <c r="C176">
        <v>3</v>
      </c>
      <c r="D176" t="s">
        <v>86</v>
      </c>
      <c r="E176">
        <v>31831</v>
      </c>
      <c r="G176">
        <v>1</v>
      </c>
      <c r="H176">
        <v>46280209</v>
      </c>
      <c r="I176" t="s">
        <v>442</v>
      </c>
      <c r="J176">
        <v>0</v>
      </c>
      <c r="K176">
        <v>0</v>
      </c>
      <c r="L176">
        <v>0</v>
      </c>
      <c r="M176">
        <v>0</v>
      </c>
      <c r="N176">
        <v>0</v>
      </c>
      <c r="O176">
        <v>15.8</v>
      </c>
      <c r="P176">
        <v>0</v>
      </c>
      <c r="Q176">
        <v>0</v>
      </c>
      <c r="R176">
        <v>0</v>
      </c>
      <c r="S176">
        <v>0</v>
      </c>
      <c r="T176">
        <v>0</v>
      </c>
      <c r="U176">
        <v>0</v>
      </c>
      <c r="V176">
        <v>15.8</v>
      </c>
      <c r="W176" t="s">
        <v>492</v>
      </c>
      <c r="AK176" t="s">
        <v>910</v>
      </c>
    </row>
    <row r="177" spans="1:37" x14ac:dyDescent="0.25">
      <c r="A177" s="163">
        <v>46176</v>
      </c>
      <c r="B177" s="163">
        <v>46176</v>
      </c>
      <c r="C177">
        <v>3</v>
      </c>
      <c r="D177" t="s">
        <v>86</v>
      </c>
      <c r="E177">
        <v>31453</v>
      </c>
      <c r="G177">
        <v>6</v>
      </c>
      <c r="H177">
        <v>20606649143</v>
      </c>
      <c r="I177" t="s">
        <v>135</v>
      </c>
      <c r="J177">
        <v>0</v>
      </c>
      <c r="K177">
        <v>0</v>
      </c>
      <c r="L177">
        <v>0</v>
      </c>
      <c r="M177">
        <v>0</v>
      </c>
      <c r="N177">
        <v>0</v>
      </c>
      <c r="O177">
        <v>140.1</v>
      </c>
      <c r="P177">
        <v>0</v>
      </c>
      <c r="Q177">
        <v>0</v>
      </c>
      <c r="R177">
        <v>0</v>
      </c>
      <c r="S177">
        <v>0</v>
      </c>
      <c r="T177">
        <v>0</v>
      </c>
      <c r="U177">
        <v>0</v>
      </c>
      <c r="V177">
        <v>140.1</v>
      </c>
      <c r="W177" t="s">
        <v>492</v>
      </c>
      <c r="AK177" t="s">
        <v>538</v>
      </c>
    </row>
    <row r="178" spans="1:37" x14ac:dyDescent="0.25">
      <c r="A178" s="163">
        <v>46181</v>
      </c>
      <c r="B178" s="163">
        <v>46181</v>
      </c>
      <c r="C178">
        <v>3</v>
      </c>
      <c r="D178" t="s">
        <v>86</v>
      </c>
      <c r="E178">
        <v>31529</v>
      </c>
      <c r="G178">
        <v>1</v>
      </c>
      <c r="H178">
        <v>40816866</v>
      </c>
      <c r="I178" t="s">
        <v>202</v>
      </c>
      <c r="J178">
        <v>0</v>
      </c>
      <c r="K178">
        <v>0</v>
      </c>
      <c r="L178">
        <v>0</v>
      </c>
      <c r="M178">
        <v>0</v>
      </c>
      <c r="N178">
        <v>0</v>
      </c>
      <c r="O178">
        <v>50</v>
      </c>
      <c r="P178">
        <v>0</v>
      </c>
      <c r="Q178">
        <v>0</v>
      </c>
      <c r="R178">
        <v>0</v>
      </c>
      <c r="S178">
        <v>0</v>
      </c>
      <c r="T178">
        <v>0</v>
      </c>
      <c r="U178">
        <v>0</v>
      </c>
      <c r="V178">
        <v>50</v>
      </c>
      <c r="W178" t="s">
        <v>492</v>
      </c>
      <c r="AK178" t="s">
        <v>611</v>
      </c>
    </row>
    <row r="179" spans="1:37" x14ac:dyDescent="0.25">
      <c r="A179" s="163">
        <v>46183</v>
      </c>
      <c r="B179" s="163">
        <v>46183</v>
      </c>
      <c r="C179">
        <v>3</v>
      </c>
      <c r="D179" t="s">
        <v>86</v>
      </c>
      <c r="E179">
        <v>31572</v>
      </c>
      <c r="G179">
        <v>1</v>
      </c>
      <c r="H179">
        <v>40816816</v>
      </c>
      <c r="I179" t="s">
        <v>239</v>
      </c>
      <c r="J179">
        <v>0</v>
      </c>
      <c r="K179">
        <v>0</v>
      </c>
      <c r="L179">
        <v>0</v>
      </c>
      <c r="M179">
        <v>0</v>
      </c>
      <c r="N179">
        <v>0</v>
      </c>
      <c r="O179">
        <v>50</v>
      </c>
      <c r="P179">
        <v>0</v>
      </c>
      <c r="Q179">
        <v>0</v>
      </c>
      <c r="R179">
        <v>0</v>
      </c>
      <c r="S179">
        <v>0</v>
      </c>
      <c r="T179">
        <v>0</v>
      </c>
      <c r="U179">
        <v>0</v>
      </c>
      <c r="V179">
        <v>50</v>
      </c>
      <c r="W179" t="s">
        <v>492</v>
      </c>
      <c r="AK179" t="s">
        <v>650</v>
      </c>
    </row>
    <row r="180" spans="1:37" x14ac:dyDescent="0.25">
      <c r="A180" s="163">
        <v>46196</v>
      </c>
      <c r="B180" s="163">
        <v>46196</v>
      </c>
      <c r="C180">
        <v>3</v>
      </c>
      <c r="D180" t="s">
        <v>86</v>
      </c>
      <c r="E180">
        <v>31753</v>
      </c>
      <c r="G180">
        <v>1</v>
      </c>
      <c r="H180">
        <v>42976904</v>
      </c>
      <c r="I180" t="s">
        <v>377</v>
      </c>
      <c r="J180">
        <v>0</v>
      </c>
      <c r="K180">
        <v>0</v>
      </c>
      <c r="L180">
        <v>0</v>
      </c>
      <c r="M180">
        <v>0</v>
      </c>
      <c r="N180">
        <v>0</v>
      </c>
      <c r="O180">
        <v>44.7</v>
      </c>
      <c r="P180">
        <v>0</v>
      </c>
      <c r="Q180">
        <v>0</v>
      </c>
      <c r="R180">
        <v>0</v>
      </c>
      <c r="S180">
        <v>0</v>
      </c>
      <c r="T180">
        <v>0</v>
      </c>
      <c r="U180">
        <v>0</v>
      </c>
      <c r="V180">
        <v>44.7</v>
      </c>
      <c r="W180" t="s">
        <v>492</v>
      </c>
      <c r="AK180" t="s">
        <v>833</v>
      </c>
    </row>
    <row r="181" spans="1:37" x14ac:dyDescent="0.25">
      <c r="A181" s="163">
        <v>46177</v>
      </c>
      <c r="B181" s="163">
        <v>46177</v>
      </c>
      <c r="C181">
        <v>3</v>
      </c>
      <c r="D181" t="s">
        <v>86</v>
      </c>
      <c r="E181">
        <v>31467</v>
      </c>
      <c r="G181">
        <v>6</v>
      </c>
      <c r="H181">
        <v>20518164717</v>
      </c>
      <c r="I181" t="s">
        <v>118</v>
      </c>
      <c r="J181">
        <v>0</v>
      </c>
      <c r="K181">
        <v>0</v>
      </c>
      <c r="L181">
        <v>0</v>
      </c>
      <c r="M181">
        <v>0</v>
      </c>
      <c r="N181">
        <v>0</v>
      </c>
      <c r="O181">
        <v>14.5</v>
      </c>
      <c r="P181">
        <v>0</v>
      </c>
      <c r="Q181">
        <v>0</v>
      </c>
      <c r="R181">
        <v>0</v>
      </c>
      <c r="S181">
        <v>0</v>
      </c>
      <c r="T181">
        <v>0</v>
      </c>
      <c r="U181">
        <v>0</v>
      </c>
      <c r="V181">
        <v>14.5</v>
      </c>
      <c r="W181" t="s">
        <v>492</v>
      </c>
      <c r="AK181" t="s">
        <v>552</v>
      </c>
    </row>
    <row r="182" spans="1:37" x14ac:dyDescent="0.25">
      <c r="A182" s="163">
        <v>46175</v>
      </c>
      <c r="B182" s="163">
        <v>46175</v>
      </c>
      <c r="C182">
        <v>3</v>
      </c>
      <c r="D182" t="s">
        <v>86</v>
      </c>
      <c r="E182">
        <v>31449</v>
      </c>
      <c r="G182">
        <v>1</v>
      </c>
      <c r="H182">
        <v>20969871</v>
      </c>
      <c r="I182" t="s">
        <v>951</v>
      </c>
      <c r="J182">
        <v>0</v>
      </c>
      <c r="K182">
        <v>0</v>
      </c>
      <c r="L182">
        <v>0</v>
      </c>
      <c r="M182">
        <v>0</v>
      </c>
      <c r="N182">
        <v>0</v>
      </c>
      <c r="O182">
        <v>7.5</v>
      </c>
      <c r="P182">
        <v>0</v>
      </c>
      <c r="Q182">
        <v>0</v>
      </c>
      <c r="R182">
        <v>0</v>
      </c>
      <c r="S182">
        <v>0</v>
      </c>
      <c r="T182">
        <v>0</v>
      </c>
      <c r="U182">
        <v>0</v>
      </c>
      <c r="V182">
        <v>7.5</v>
      </c>
      <c r="W182" t="s">
        <v>492</v>
      </c>
      <c r="AK182" t="s">
        <v>535</v>
      </c>
    </row>
    <row r="183" spans="1:37" x14ac:dyDescent="0.25">
      <c r="A183" s="163">
        <v>46195</v>
      </c>
      <c r="B183" s="163">
        <v>46195</v>
      </c>
      <c r="C183">
        <v>3</v>
      </c>
      <c r="D183" t="s">
        <v>86</v>
      </c>
      <c r="E183">
        <v>31720</v>
      </c>
      <c r="G183">
        <v>1</v>
      </c>
      <c r="H183">
        <v>42544950</v>
      </c>
      <c r="I183" t="s">
        <v>352</v>
      </c>
      <c r="J183">
        <v>0</v>
      </c>
      <c r="K183">
        <v>0</v>
      </c>
      <c r="L183">
        <v>0</v>
      </c>
      <c r="M183">
        <v>0</v>
      </c>
      <c r="N183">
        <v>0</v>
      </c>
      <c r="O183">
        <v>20</v>
      </c>
      <c r="P183">
        <v>0</v>
      </c>
      <c r="Q183">
        <v>0</v>
      </c>
      <c r="R183">
        <v>0</v>
      </c>
      <c r="S183">
        <v>0</v>
      </c>
      <c r="T183">
        <v>0</v>
      </c>
      <c r="U183">
        <v>0</v>
      </c>
      <c r="V183">
        <v>20</v>
      </c>
      <c r="W183" t="s">
        <v>492</v>
      </c>
      <c r="AK183" t="s">
        <v>799</v>
      </c>
    </row>
    <row r="184" spans="1:37" x14ac:dyDescent="0.25">
      <c r="A184" s="163">
        <v>46181</v>
      </c>
      <c r="B184" s="163">
        <v>46181</v>
      </c>
      <c r="C184">
        <v>3</v>
      </c>
      <c r="D184" t="s">
        <v>86</v>
      </c>
      <c r="E184">
        <v>31528</v>
      </c>
      <c r="G184">
        <v>1</v>
      </c>
      <c r="H184">
        <v>20074160</v>
      </c>
      <c r="I184" t="s">
        <v>201</v>
      </c>
      <c r="J184">
        <v>0</v>
      </c>
      <c r="K184">
        <v>0</v>
      </c>
      <c r="L184">
        <v>0</v>
      </c>
      <c r="M184">
        <v>0</v>
      </c>
      <c r="N184">
        <v>0</v>
      </c>
      <c r="O184">
        <v>18.5</v>
      </c>
      <c r="P184">
        <v>0</v>
      </c>
      <c r="Q184">
        <v>0</v>
      </c>
      <c r="R184">
        <v>0</v>
      </c>
      <c r="S184">
        <v>0</v>
      </c>
      <c r="T184">
        <v>0</v>
      </c>
      <c r="U184">
        <v>0</v>
      </c>
      <c r="V184">
        <v>18.5</v>
      </c>
      <c r="W184" t="s">
        <v>492</v>
      </c>
      <c r="AK184" t="s">
        <v>610</v>
      </c>
    </row>
    <row r="185" spans="1:37" x14ac:dyDescent="0.25">
      <c r="A185" s="163">
        <v>46196</v>
      </c>
      <c r="B185" s="163">
        <v>46196</v>
      </c>
      <c r="C185">
        <v>3</v>
      </c>
      <c r="D185" t="s">
        <v>86</v>
      </c>
      <c r="E185">
        <v>31734</v>
      </c>
      <c r="G185">
        <v>6</v>
      </c>
      <c r="H185">
        <v>10200544124</v>
      </c>
      <c r="I185" t="s">
        <v>199</v>
      </c>
      <c r="J185">
        <v>0</v>
      </c>
      <c r="K185">
        <v>0</v>
      </c>
      <c r="L185">
        <v>0</v>
      </c>
      <c r="M185">
        <v>0</v>
      </c>
      <c r="N185">
        <v>0</v>
      </c>
      <c r="O185">
        <v>8</v>
      </c>
      <c r="P185">
        <v>0</v>
      </c>
      <c r="Q185">
        <v>0</v>
      </c>
      <c r="R185">
        <v>0</v>
      </c>
      <c r="S185">
        <v>0</v>
      </c>
      <c r="T185">
        <v>0</v>
      </c>
      <c r="U185">
        <v>0</v>
      </c>
      <c r="V185">
        <v>8</v>
      </c>
      <c r="W185" t="s">
        <v>492</v>
      </c>
      <c r="AK185" t="s">
        <v>814</v>
      </c>
    </row>
    <row r="186" spans="1:37" x14ac:dyDescent="0.25">
      <c r="A186" s="163">
        <v>46196</v>
      </c>
      <c r="B186" s="163">
        <v>46196</v>
      </c>
      <c r="C186">
        <v>3</v>
      </c>
      <c r="D186" t="s">
        <v>86</v>
      </c>
      <c r="E186">
        <v>31733</v>
      </c>
      <c r="G186">
        <v>6</v>
      </c>
      <c r="H186">
        <v>20487125921</v>
      </c>
      <c r="I186" t="s">
        <v>950</v>
      </c>
      <c r="J186">
        <v>0</v>
      </c>
      <c r="K186">
        <v>0</v>
      </c>
      <c r="L186">
        <v>0</v>
      </c>
      <c r="M186">
        <v>0</v>
      </c>
      <c r="N186">
        <v>0</v>
      </c>
      <c r="O186">
        <v>25</v>
      </c>
      <c r="P186">
        <v>0</v>
      </c>
      <c r="Q186">
        <v>0</v>
      </c>
      <c r="R186">
        <v>0</v>
      </c>
      <c r="S186">
        <v>0</v>
      </c>
      <c r="T186">
        <v>0</v>
      </c>
      <c r="U186">
        <v>0</v>
      </c>
      <c r="V186">
        <v>25</v>
      </c>
      <c r="W186" t="s">
        <v>492</v>
      </c>
      <c r="AK186" t="s">
        <v>813</v>
      </c>
    </row>
    <row r="187" spans="1:37" x14ac:dyDescent="0.25">
      <c r="A187" s="163">
        <v>46177</v>
      </c>
      <c r="B187" s="163">
        <v>46177</v>
      </c>
      <c r="C187">
        <v>3</v>
      </c>
      <c r="D187" t="s">
        <v>86</v>
      </c>
      <c r="E187">
        <v>31473</v>
      </c>
      <c r="G187">
        <v>1</v>
      </c>
      <c r="H187">
        <v>20105797</v>
      </c>
      <c r="I187" t="s">
        <v>160</v>
      </c>
      <c r="J187">
        <v>0</v>
      </c>
      <c r="K187">
        <v>0</v>
      </c>
      <c r="L187">
        <v>0</v>
      </c>
      <c r="M187">
        <v>0</v>
      </c>
      <c r="N187">
        <v>0</v>
      </c>
      <c r="O187">
        <v>255</v>
      </c>
      <c r="P187">
        <v>0</v>
      </c>
      <c r="Q187">
        <v>0</v>
      </c>
      <c r="R187">
        <v>0</v>
      </c>
      <c r="S187">
        <v>0</v>
      </c>
      <c r="T187">
        <v>0</v>
      </c>
      <c r="U187">
        <v>0</v>
      </c>
      <c r="V187">
        <v>255</v>
      </c>
      <c r="W187" t="s">
        <v>492</v>
      </c>
      <c r="AK187" t="s">
        <v>566</v>
      </c>
    </row>
    <row r="188" spans="1:37" x14ac:dyDescent="0.25">
      <c r="A188" s="163">
        <v>46195</v>
      </c>
      <c r="B188" s="163">
        <v>46195</v>
      </c>
      <c r="C188">
        <v>3</v>
      </c>
      <c r="D188" t="s">
        <v>86</v>
      </c>
      <c r="E188">
        <v>31719</v>
      </c>
      <c r="G188">
        <v>1</v>
      </c>
      <c r="H188">
        <v>43284632</v>
      </c>
      <c r="I188" t="s">
        <v>952</v>
      </c>
      <c r="J188">
        <v>0</v>
      </c>
      <c r="K188">
        <v>0</v>
      </c>
      <c r="L188">
        <v>0</v>
      </c>
      <c r="M188">
        <v>0</v>
      </c>
      <c r="N188">
        <v>0</v>
      </c>
      <c r="O188">
        <v>10</v>
      </c>
      <c r="P188">
        <v>0</v>
      </c>
      <c r="Q188">
        <v>0</v>
      </c>
      <c r="R188">
        <v>0</v>
      </c>
      <c r="S188">
        <v>0</v>
      </c>
      <c r="T188">
        <v>0</v>
      </c>
      <c r="U188">
        <v>0</v>
      </c>
      <c r="V188">
        <v>10</v>
      </c>
      <c r="W188" t="s">
        <v>492</v>
      </c>
      <c r="AK188" t="s">
        <v>798</v>
      </c>
    </row>
    <row r="189" spans="1:37" x14ac:dyDescent="0.25">
      <c r="A189" s="163">
        <v>46196</v>
      </c>
      <c r="B189" s="163">
        <v>46196</v>
      </c>
      <c r="C189">
        <v>3</v>
      </c>
      <c r="D189" t="s">
        <v>86</v>
      </c>
      <c r="E189">
        <v>31736</v>
      </c>
      <c r="G189">
        <v>1</v>
      </c>
      <c r="H189">
        <v>20434699</v>
      </c>
      <c r="I189" t="s">
        <v>953</v>
      </c>
      <c r="J189">
        <v>0</v>
      </c>
      <c r="K189">
        <v>0</v>
      </c>
      <c r="L189">
        <v>0</v>
      </c>
      <c r="M189">
        <v>0</v>
      </c>
      <c r="N189">
        <v>0</v>
      </c>
      <c r="O189">
        <v>10</v>
      </c>
      <c r="P189">
        <v>0</v>
      </c>
      <c r="Q189">
        <v>0</v>
      </c>
      <c r="R189">
        <v>0</v>
      </c>
      <c r="S189">
        <v>0</v>
      </c>
      <c r="T189">
        <v>0</v>
      </c>
      <c r="U189">
        <v>0</v>
      </c>
      <c r="V189">
        <v>10</v>
      </c>
      <c r="W189" t="s">
        <v>492</v>
      </c>
      <c r="AK189" t="s">
        <v>816</v>
      </c>
    </row>
    <row r="190" spans="1:37" x14ac:dyDescent="0.25">
      <c r="A190" s="163">
        <v>46197</v>
      </c>
      <c r="B190" s="163">
        <v>46197</v>
      </c>
      <c r="C190">
        <v>3</v>
      </c>
      <c r="D190" t="s">
        <v>86</v>
      </c>
      <c r="E190">
        <v>31755</v>
      </c>
      <c r="G190">
        <v>1</v>
      </c>
      <c r="H190">
        <v>20097756</v>
      </c>
      <c r="I190" t="s">
        <v>378</v>
      </c>
      <c r="J190">
        <v>0</v>
      </c>
      <c r="K190">
        <v>0</v>
      </c>
      <c r="L190">
        <v>0</v>
      </c>
      <c r="M190">
        <v>0</v>
      </c>
      <c r="N190">
        <v>0</v>
      </c>
      <c r="O190">
        <v>375</v>
      </c>
      <c r="P190">
        <v>0</v>
      </c>
      <c r="Q190">
        <v>0</v>
      </c>
      <c r="R190">
        <v>0</v>
      </c>
      <c r="S190">
        <v>0</v>
      </c>
      <c r="T190">
        <v>0</v>
      </c>
      <c r="U190">
        <v>0</v>
      </c>
      <c r="V190">
        <v>375</v>
      </c>
      <c r="W190" t="s">
        <v>492</v>
      </c>
      <c r="AK190" t="s">
        <v>835</v>
      </c>
    </row>
    <row r="191" spans="1:37" x14ac:dyDescent="0.25">
      <c r="A191" s="163">
        <v>46183</v>
      </c>
      <c r="B191" s="163">
        <v>46183</v>
      </c>
      <c r="C191">
        <v>3</v>
      </c>
      <c r="D191" t="s">
        <v>86</v>
      </c>
      <c r="E191">
        <v>31574</v>
      </c>
      <c r="G191">
        <v>1</v>
      </c>
      <c r="H191">
        <v>73271469</v>
      </c>
      <c r="I191" t="s">
        <v>241</v>
      </c>
      <c r="J191">
        <v>0</v>
      </c>
      <c r="K191">
        <v>0</v>
      </c>
      <c r="L191">
        <v>0</v>
      </c>
      <c r="M191">
        <v>0</v>
      </c>
      <c r="N191">
        <v>0</v>
      </c>
      <c r="O191">
        <v>15</v>
      </c>
      <c r="P191">
        <v>0</v>
      </c>
      <c r="Q191">
        <v>0</v>
      </c>
      <c r="R191">
        <v>0</v>
      </c>
      <c r="S191">
        <v>0</v>
      </c>
      <c r="T191">
        <v>0</v>
      </c>
      <c r="U191">
        <v>0</v>
      </c>
      <c r="V191">
        <v>15</v>
      </c>
      <c r="W191" t="s">
        <v>492</v>
      </c>
      <c r="AK191" t="s">
        <v>652</v>
      </c>
    </row>
    <row r="192" spans="1:37" x14ac:dyDescent="0.25">
      <c r="A192" s="163">
        <v>46182</v>
      </c>
      <c r="B192" s="163">
        <v>46182</v>
      </c>
      <c r="C192">
        <v>3</v>
      </c>
      <c r="D192" t="s">
        <v>86</v>
      </c>
      <c r="E192">
        <v>31554</v>
      </c>
      <c r="G192">
        <v>1</v>
      </c>
      <c r="H192">
        <v>40365353</v>
      </c>
      <c r="I192" t="s">
        <v>225</v>
      </c>
      <c r="J192">
        <v>0</v>
      </c>
      <c r="K192">
        <v>0</v>
      </c>
      <c r="L192">
        <v>0</v>
      </c>
      <c r="M192">
        <v>0</v>
      </c>
      <c r="N192">
        <v>0</v>
      </c>
      <c r="O192">
        <v>10</v>
      </c>
      <c r="P192">
        <v>0</v>
      </c>
      <c r="Q192">
        <v>0</v>
      </c>
      <c r="R192">
        <v>0</v>
      </c>
      <c r="S192">
        <v>0</v>
      </c>
      <c r="T192">
        <v>0</v>
      </c>
      <c r="U192">
        <v>0</v>
      </c>
      <c r="V192">
        <v>10</v>
      </c>
      <c r="W192" t="s">
        <v>492</v>
      </c>
      <c r="AK192" t="s">
        <v>635</v>
      </c>
    </row>
    <row r="193" spans="1:37" x14ac:dyDescent="0.25">
      <c r="A193" s="163">
        <v>46175</v>
      </c>
      <c r="B193" s="163">
        <v>46175</v>
      </c>
      <c r="C193">
        <v>3</v>
      </c>
      <c r="D193" t="s">
        <v>86</v>
      </c>
      <c r="E193">
        <v>31450</v>
      </c>
      <c r="G193">
        <v>1</v>
      </c>
      <c r="H193">
        <v>80331159</v>
      </c>
      <c r="I193" t="s">
        <v>132</v>
      </c>
      <c r="J193">
        <v>0</v>
      </c>
      <c r="K193">
        <v>0</v>
      </c>
      <c r="L193">
        <v>0</v>
      </c>
      <c r="M193">
        <v>0</v>
      </c>
      <c r="N193">
        <v>0</v>
      </c>
      <c r="O193">
        <v>10</v>
      </c>
      <c r="P193">
        <v>0</v>
      </c>
      <c r="Q193">
        <v>0</v>
      </c>
      <c r="R193">
        <v>0</v>
      </c>
      <c r="S193">
        <v>0</v>
      </c>
      <c r="T193">
        <v>0</v>
      </c>
      <c r="U193">
        <v>0</v>
      </c>
      <c r="V193">
        <v>10</v>
      </c>
      <c r="W193" t="s">
        <v>492</v>
      </c>
      <c r="AK193" t="s">
        <v>536</v>
      </c>
    </row>
    <row r="194" spans="1:37" x14ac:dyDescent="0.25">
      <c r="A194" s="163">
        <v>46195</v>
      </c>
      <c r="B194" s="163">
        <v>46195</v>
      </c>
      <c r="C194">
        <v>3</v>
      </c>
      <c r="D194" t="s">
        <v>86</v>
      </c>
      <c r="E194">
        <v>31721</v>
      </c>
      <c r="G194">
        <v>1</v>
      </c>
      <c r="H194">
        <v>42599028</v>
      </c>
      <c r="I194" t="s">
        <v>353</v>
      </c>
      <c r="J194">
        <v>0</v>
      </c>
      <c r="K194">
        <v>0</v>
      </c>
      <c r="L194">
        <v>0</v>
      </c>
      <c r="M194">
        <v>0</v>
      </c>
      <c r="N194">
        <v>0</v>
      </c>
      <c r="O194">
        <v>50</v>
      </c>
      <c r="P194">
        <v>0</v>
      </c>
      <c r="Q194">
        <v>0</v>
      </c>
      <c r="R194">
        <v>0</v>
      </c>
      <c r="S194">
        <v>0</v>
      </c>
      <c r="T194">
        <v>0</v>
      </c>
      <c r="U194">
        <v>0</v>
      </c>
      <c r="V194">
        <v>50</v>
      </c>
      <c r="W194" t="s">
        <v>492</v>
      </c>
      <c r="AK194" t="s">
        <v>800</v>
      </c>
    </row>
    <row r="195" spans="1:37" x14ac:dyDescent="0.25">
      <c r="A195" s="163">
        <v>46178</v>
      </c>
      <c r="B195" s="163">
        <v>46178</v>
      </c>
      <c r="C195">
        <v>3</v>
      </c>
      <c r="D195" t="s">
        <v>86</v>
      </c>
      <c r="E195">
        <v>31484</v>
      </c>
      <c r="G195">
        <v>1</v>
      </c>
      <c r="H195">
        <v>45033779</v>
      </c>
      <c r="I195" t="s">
        <v>145</v>
      </c>
      <c r="J195">
        <v>0</v>
      </c>
      <c r="K195">
        <v>0</v>
      </c>
      <c r="L195">
        <v>0</v>
      </c>
      <c r="M195">
        <v>0</v>
      </c>
      <c r="N195">
        <v>0</v>
      </c>
      <c r="O195">
        <v>4.2</v>
      </c>
      <c r="P195">
        <v>0</v>
      </c>
      <c r="Q195">
        <v>0</v>
      </c>
      <c r="R195">
        <v>0</v>
      </c>
      <c r="S195">
        <v>0</v>
      </c>
      <c r="T195">
        <v>0</v>
      </c>
      <c r="U195">
        <v>0</v>
      </c>
      <c r="V195">
        <v>4.2</v>
      </c>
      <c r="W195" t="s">
        <v>492</v>
      </c>
      <c r="AK195" t="s">
        <v>569</v>
      </c>
    </row>
    <row r="196" spans="1:37" x14ac:dyDescent="0.25">
      <c r="A196" s="163">
        <v>46182</v>
      </c>
      <c r="B196" s="163">
        <v>46182</v>
      </c>
      <c r="C196">
        <v>3</v>
      </c>
      <c r="D196" t="s">
        <v>86</v>
      </c>
      <c r="E196">
        <v>31555</v>
      </c>
      <c r="G196">
        <v>1</v>
      </c>
      <c r="H196">
        <v>40365353</v>
      </c>
      <c r="I196" t="s">
        <v>225</v>
      </c>
      <c r="J196">
        <v>0</v>
      </c>
      <c r="K196">
        <v>0</v>
      </c>
      <c r="L196">
        <v>0</v>
      </c>
      <c r="M196">
        <v>0</v>
      </c>
      <c r="N196">
        <v>0</v>
      </c>
      <c r="O196">
        <v>14.7</v>
      </c>
      <c r="P196">
        <v>0</v>
      </c>
      <c r="Q196">
        <v>0</v>
      </c>
      <c r="R196">
        <v>0</v>
      </c>
      <c r="S196">
        <v>0</v>
      </c>
      <c r="T196">
        <v>0</v>
      </c>
      <c r="U196">
        <v>0</v>
      </c>
      <c r="V196">
        <v>14.7</v>
      </c>
      <c r="W196" t="s">
        <v>492</v>
      </c>
      <c r="AK196" t="s">
        <v>636</v>
      </c>
    </row>
    <row r="197" spans="1:37" x14ac:dyDescent="0.25">
      <c r="A197" s="163">
        <v>46183</v>
      </c>
      <c r="B197" s="163">
        <v>46183</v>
      </c>
      <c r="C197">
        <v>3</v>
      </c>
      <c r="D197" t="s">
        <v>86</v>
      </c>
      <c r="E197">
        <v>31576</v>
      </c>
      <c r="G197">
        <v>1</v>
      </c>
      <c r="H197">
        <v>43263160</v>
      </c>
      <c r="I197" t="s">
        <v>243</v>
      </c>
      <c r="J197">
        <v>0</v>
      </c>
      <c r="K197">
        <v>0</v>
      </c>
      <c r="L197">
        <v>0</v>
      </c>
      <c r="M197">
        <v>0</v>
      </c>
      <c r="N197">
        <v>0</v>
      </c>
      <c r="O197">
        <v>25.8</v>
      </c>
      <c r="P197">
        <v>0</v>
      </c>
      <c r="Q197">
        <v>0</v>
      </c>
      <c r="R197">
        <v>0</v>
      </c>
      <c r="S197">
        <v>0</v>
      </c>
      <c r="T197">
        <v>0</v>
      </c>
      <c r="U197">
        <v>0</v>
      </c>
      <c r="V197">
        <v>25.8</v>
      </c>
      <c r="W197" t="s">
        <v>492</v>
      </c>
      <c r="AK197" t="s">
        <v>654</v>
      </c>
    </row>
    <row r="198" spans="1:37" x14ac:dyDescent="0.25">
      <c r="A198" s="163">
        <v>46189</v>
      </c>
      <c r="B198" s="163">
        <v>46189</v>
      </c>
      <c r="C198">
        <v>3</v>
      </c>
      <c r="D198" t="s">
        <v>86</v>
      </c>
      <c r="E198">
        <v>31640</v>
      </c>
      <c r="G198">
        <v>1</v>
      </c>
      <c r="H198">
        <v>19873451</v>
      </c>
      <c r="I198" t="s">
        <v>954</v>
      </c>
      <c r="J198">
        <v>0</v>
      </c>
      <c r="K198">
        <v>0</v>
      </c>
      <c r="L198">
        <v>0</v>
      </c>
      <c r="M198">
        <v>0</v>
      </c>
      <c r="N198">
        <v>0</v>
      </c>
      <c r="O198">
        <v>55</v>
      </c>
      <c r="P198">
        <v>0</v>
      </c>
      <c r="Q198">
        <v>0</v>
      </c>
      <c r="R198">
        <v>0</v>
      </c>
      <c r="S198">
        <v>0</v>
      </c>
      <c r="T198">
        <v>0</v>
      </c>
      <c r="U198">
        <v>0</v>
      </c>
      <c r="V198">
        <v>55</v>
      </c>
      <c r="W198" t="s">
        <v>492</v>
      </c>
      <c r="AK198" t="s">
        <v>719</v>
      </c>
    </row>
    <row r="199" spans="1:37" x14ac:dyDescent="0.25">
      <c r="A199" s="163">
        <v>46197</v>
      </c>
      <c r="B199" s="163">
        <v>46197</v>
      </c>
      <c r="C199">
        <v>3</v>
      </c>
      <c r="D199" t="s">
        <v>86</v>
      </c>
      <c r="E199">
        <v>31757</v>
      </c>
      <c r="G199">
        <v>1</v>
      </c>
      <c r="H199">
        <v>44545646</v>
      </c>
      <c r="I199" t="s">
        <v>379</v>
      </c>
      <c r="J199">
        <v>0</v>
      </c>
      <c r="K199">
        <v>0</v>
      </c>
      <c r="L199">
        <v>0</v>
      </c>
      <c r="M199">
        <v>0</v>
      </c>
      <c r="N199">
        <v>0</v>
      </c>
      <c r="O199">
        <v>145.80000000000001</v>
      </c>
      <c r="P199">
        <v>0</v>
      </c>
      <c r="Q199">
        <v>0</v>
      </c>
      <c r="R199">
        <v>0</v>
      </c>
      <c r="S199">
        <v>0</v>
      </c>
      <c r="T199">
        <v>0</v>
      </c>
      <c r="U199">
        <v>0</v>
      </c>
      <c r="V199">
        <v>145.80000000000001</v>
      </c>
      <c r="W199" t="s">
        <v>492</v>
      </c>
      <c r="AK199" t="s">
        <v>837</v>
      </c>
    </row>
    <row r="200" spans="1:37" x14ac:dyDescent="0.25">
      <c r="A200" s="163">
        <v>46177</v>
      </c>
      <c r="B200" s="163">
        <v>46177</v>
      </c>
      <c r="C200">
        <v>3</v>
      </c>
      <c r="D200" t="s">
        <v>86</v>
      </c>
      <c r="E200">
        <v>31466</v>
      </c>
      <c r="G200">
        <v>6</v>
      </c>
      <c r="H200">
        <v>20609143151</v>
      </c>
      <c r="I200" t="s">
        <v>147</v>
      </c>
      <c r="J200">
        <v>0</v>
      </c>
      <c r="K200">
        <v>0</v>
      </c>
      <c r="L200">
        <v>0</v>
      </c>
      <c r="M200">
        <v>0</v>
      </c>
      <c r="N200">
        <v>0</v>
      </c>
      <c r="O200">
        <v>120</v>
      </c>
      <c r="P200">
        <v>0</v>
      </c>
      <c r="Q200">
        <v>0</v>
      </c>
      <c r="R200">
        <v>0</v>
      </c>
      <c r="S200">
        <v>0</v>
      </c>
      <c r="T200">
        <v>0</v>
      </c>
      <c r="U200">
        <v>0</v>
      </c>
      <c r="V200">
        <v>120</v>
      </c>
      <c r="W200" t="s">
        <v>492</v>
      </c>
      <c r="AK200" t="s">
        <v>551</v>
      </c>
    </row>
    <row r="201" spans="1:37" x14ac:dyDescent="0.25">
      <c r="A201" s="163">
        <v>46181</v>
      </c>
      <c r="B201" s="163">
        <v>46181</v>
      </c>
      <c r="C201">
        <v>3</v>
      </c>
      <c r="D201" t="s">
        <v>86</v>
      </c>
      <c r="E201">
        <v>31527</v>
      </c>
      <c r="G201">
        <v>1</v>
      </c>
      <c r="H201">
        <v>20425768</v>
      </c>
      <c r="I201" t="s">
        <v>955</v>
      </c>
      <c r="J201">
        <v>0</v>
      </c>
      <c r="K201">
        <v>0</v>
      </c>
      <c r="L201">
        <v>0</v>
      </c>
      <c r="M201">
        <v>0</v>
      </c>
      <c r="N201">
        <v>0</v>
      </c>
      <c r="O201">
        <v>29</v>
      </c>
      <c r="P201">
        <v>0</v>
      </c>
      <c r="Q201">
        <v>0</v>
      </c>
      <c r="R201">
        <v>0</v>
      </c>
      <c r="S201">
        <v>0</v>
      </c>
      <c r="T201">
        <v>0</v>
      </c>
      <c r="U201">
        <v>0</v>
      </c>
      <c r="V201">
        <v>29</v>
      </c>
      <c r="W201" t="s">
        <v>492</v>
      </c>
      <c r="AK201" t="s">
        <v>609</v>
      </c>
    </row>
    <row r="202" spans="1:37" x14ac:dyDescent="0.25">
      <c r="A202" s="163">
        <v>46177</v>
      </c>
      <c r="B202" s="163">
        <v>46177</v>
      </c>
      <c r="C202">
        <v>3</v>
      </c>
      <c r="D202" t="s">
        <v>86</v>
      </c>
      <c r="E202">
        <v>31468</v>
      </c>
      <c r="G202">
        <v>1</v>
      </c>
      <c r="H202">
        <v>47940061</v>
      </c>
      <c r="I202" t="s">
        <v>148</v>
      </c>
      <c r="J202">
        <v>0</v>
      </c>
      <c r="K202">
        <v>0</v>
      </c>
      <c r="L202">
        <v>0</v>
      </c>
      <c r="M202">
        <v>0</v>
      </c>
      <c r="N202">
        <v>0</v>
      </c>
      <c r="O202">
        <v>24.5</v>
      </c>
      <c r="P202">
        <v>0</v>
      </c>
      <c r="Q202">
        <v>0</v>
      </c>
      <c r="R202">
        <v>0</v>
      </c>
      <c r="S202">
        <v>0</v>
      </c>
      <c r="T202">
        <v>0</v>
      </c>
      <c r="U202">
        <v>0</v>
      </c>
      <c r="V202">
        <v>24.5</v>
      </c>
      <c r="W202" t="s">
        <v>492</v>
      </c>
      <c r="AK202" t="s">
        <v>553</v>
      </c>
    </row>
    <row r="203" spans="1:37" x14ac:dyDescent="0.25">
      <c r="A203" s="163">
        <v>46196</v>
      </c>
      <c r="B203" s="163">
        <v>46196</v>
      </c>
      <c r="C203">
        <v>3</v>
      </c>
      <c r="D203" t="s">
        <v>86</v>
      </c>
      <c r="E203">
        <v>31740</v>
      </c>
      <c r="G203">
        <v>1</v>
      </c>
      <c r="H203">
        <v>71071758</v>
      </c>
      <c r="I203" t="s">
        <v>266</v>
      </c>
      <c r="J203">
        <v>0</v>
      </c>
      <c r="K203">
        <v>0</v>
      </c>
      <c r="L203">
        <v>0</v>
      </c>
      <c r="M203">
        <v>0</v>
      </c>
      <c r="N203">
        <v>0</v>
      </c>
      <c r="O203">
        <v>10</v>
      </c>
      <c r="P203">
        <v>0</v>
      </c>
      <c r="Q203">
        <v>0</v>
      </c>
      <c r="R203">
        <v>0</v>
      </c>
      <c r="S203">
        <v>0</v>
      </c>
      <c r="T203">
        <v>0</v>
      </c>
      <c r="U203">
        <v>0</v>
      </c>
      <c r="V203">
        <v>10</v>
      </c>
      <c r="W203" t="s">
        <v>492</v>
      </c>
      <c r="AK203" t="s">
        <v>820</v>
      </c>
    </row>
    <row r="204" spans="1:37" x14ac:dyDescent="0.25">
      <c r="A204" s="163">
        <v>46195</v>
      </c>
      <c r="B204" s="163">
        <v>46195</v>
      </c>
      <c r="C204">
        <v>3</v>
      </c>
      <c r="D204" t="s">
        <v>86</v>
      </c>
      <c r="E204">
        <v>31717</v>
      </c>
      <c r="G204">
        <v>1</v>
      </c>
      <c r="H204">
        <v>42597284</v>
      </c>
      <c r="I204" t="s">
        <v>349</v>
      </c>
      <c r="J204">
        <v>0</v>
      </c>
      <c r="K204">
        <v>0</v>
      </c>
      <c r="L204">
        <v>0</v>
      </c>
      <c r="M204">
        <v>0</v>
      </c>
      <c r="N204">
        <v>0</v>
      </c>
      <c r="O204">
        <v>9.5</v>
      </c>
      <c r="P204">
        <v>0</v>
      </c>
      <c r="Q204">
        <v>0</v>
      </c>
      <c r="R204">
        <v>0</v>
      </c>
      <c r="S204">
        <v>0</v>
      </c>
      <c r="T204">
        <v>0</v>
      </c>
      <c r="U204">
        <v>0</v>
      </c>
      <c r="V204">
        <v>9.5</v>
      </c>
      <c r="W204" t="s">
        <v>492</v>
      </c>
      <c r="AK204" t="s">
        <v>796</v>
      </c>
    </row>
    <row r="205" spans="1:37" x14ac:dyDescent="0.25">
      <c r="A205" s="163">
        <v>46182</v>
      </c>
      <c r="B205" s="163">
        <v>46182</v>
      </c>
      <c r="C205">
        <v>3</v>
      </c>
      <c r="D205" t="s">
        <v>86</v>
      </c>
      <c r="E205">
        <v>31556</v>
      </c>
      <c r="G205">
        <v>1</v>
      </c>
      <c r="H205">
        <v>19863020</v>
      </c>
      <c r="I205" t="s">
        <v>226</v>
      </c>
      <c r="J205">
        <v>0</v>
      </c>
      <c r="K205">
        <v>0</v>
      </c>
      <c r="L205">
        <v>0</v>
      </c>
      <c r="M205">
        <v>0</v>
      </c>
      <c r="N205">
        <v>0</v>
      </c>
      <c r="O205">
        <v>100</v>
      </c>
      <c r="P205">
        <v>0</v>
      </c>
      <c r="Q205">
        <v>0</v>
      </c>
      <c r="R205">
        <v>0</v>
      </c>
      <c r="S205">
        <v>0</v>
      </c>
      <c r="T205">
        <v>0</v>
      </c>
      <c r="U205">
        <v>0</v>
      </c>
      <c r="V205">
        <v>100</v>
      </c>
      <c r="W205" t="s">
        <v>492</v>
      </c>
      <c r="AK205" t="s">
        <v>637</v>
      </c>
    </row>
    <row r="206" spans="1:37" x14ac:dyDescent="0.25">
      <c r="A206" s="163">
        <v>46188</v>
      </c>
      <c r="B206" s="163">
        <v>46188</v>
      </c>
      <c r="C206">
        <v>3</v>
      </c>
      <c r="D206" t="s">
        <v>86</v>
      </c>
      <c r="E206">
        <v>31621</v>
      </c>
      <c r="G206">
        <v>6</v>
      </c>
      <c r="H206">
        <v>20602215637</v>
      </c>
      <c r="I206" t="s">
        <v>949</v>
      </c>
      <c r="J206">
        <v>0</v>
      </c>
      <c r="K206">
        <v>0</v>
      </c>
      <c r="L206">
        <v>0</v>
      </c>
      <c r="M206">
        <v>0</v>
      </c>
      <c r="N206">
        <v>0</v>
      </c>
      <c r="O206">
        <v>100</v>
      </c>
      <c r="P206">
        <v>0</v>
      </c>
      <c r="Q206">
        <v>0</v>
      </c>
      <c r="R206">
        <v>0</v>
      </c>
      <c r="S206">
        <v>0</v>
      </c>
      <c r="T206">
        <v>0</v>
      </c>
      <c r="U206">
        <v>0</v>
      </c>
      <c r="V206">
        <v>100</v>
      </c>
      <c r="W206" t="s">
        <v>492</v>
      </c>
      <c r="AK206" t="s">
        <v>701</v>
      </c>
    </row>
    <row r="207" spans="1:37" x14ac:dyDescent="0.25">
      <c r="A207" s="163">
        <v>46178</v>
      </c>
      <c r="B207" s="163">
        <v>46178</v>
      </c>
      <c r="C207">
        <v>3</v>
      </c>
      <c r="D207" t="s">
        <v>86</v>
      </c>
      <c r="E207">
        <v>31485</v>
      </c>
      <c r="G207">
        <v>1</v>
      </c>
      <c r="H207">
        <v>42844045</v>
      </c>
      <c r="I207" t="s">
        <v>163</v>
      </c>
      <c r="J207">
        <v>0</v>
      </c>
      <c r="K207">
        <v>0</v>
      </c>
      <c r="L207">
        <v>0</v>
      </c>
      <c r="M207">
        <v>0</v>
      </c>
      <c r="N207">
        <v>0</v>
      </c>
      <c r="O207">
        <v>76.900000000000006</v>
      </c>
      <c r="P207">
        <v>0</v>
      </c>
      <c r="Q207">
        <v>0</v>
      </c>
      <c r="R207">
        <v>0</v>
      </c>
      <c r="S207">
        <v>0</v>
      </c>
      <c r="T207">
        <v>0</v>
      </c>
      <c r="U207">
        <v>0</v>
      </c>
      <c r="V207">
        <v>76.900000000000006</v>
      </c>
      <c r="W207" t="s">
        <v>492</v>
      </c>
      <c r="AK207" t="s">
        <v>570</v>
      </c>
    </row>
    <row r="208" spans="1:37" x14ac:dyDescent="0.25">
      <c r="A208" s="163">
        <v>46189</v>
      </c>
      <c r="B208" s="163">
        <v>46189</v>
      </c>
      <c r="C208">
        <v>3</v>
      </c>
      <c r="D208" t="s">
        <v>86</v>
      </c>
      <c r="E208">
        <v>31649</v>
      </c>
      <c r="G208">
        <v>1</v>
      </c>
      <c r="H208">
        <v>41372699</v>
      </c>
      <c r="I208" t="s">
        <v>299</v>
      </c>
      <c r="J208">
        <v>0</v>
      </c>
      <c r="K208">
        <v>0</v>
      </c>
      <c r="L208">
        <v>0</v>
      </c>
      <c r="M208">
        <v>0</v>
      </c>
      <c r="N208">
        <v>0</v>
      </c>
      <c r="O208">
        <v>50</v>
      </c>
      <c r="P208">
        <v>0</v>
      </c>
      <c r="Q208">
        <v>0</v>
      </c>
      <c r="R208">
        <v>0</v>
      </c>
      <c r="S208">
        <v>0</v>
      </c>
      <c r="T208">
        <v>0</v>
      </c>
      <c r="U208">
        <v>0</v>
      </c>
      <c r="V208">
        <v>50</v>
      </c>
      <c r="W208" t="s">
        <v>492</v>
      </c>
      <c r="AK208" t="s">
        <v>728</v>
      </c>
    </row>
    <row r="209" spans="1:37" x14ac:dyDescent="0.25">
      <c r="A209" s="163">
        <v>46181</v>
      </c>
      <c r="B209" s="163">
        <v>46181</v>
      </c>
      <c r="C209">
        <v>3</v>
      </c>
      <c r="D209" t="s">
        <v>86</v>
      </c>
      <c r="E209">
        <v>31539</v>
      </c>
      <c r="G209">
        <v>1</v>
      </c>
      <c r="H209">
        <v>47714088</v>
      </c>
      <c r="I209" t="s">
        <v>212</v>
      </c>
      <c r="J209">
        <v>0</v>
      </c>
      <c r="K209">
        <v>0</v>
      </c>
      <c r="L209">
        <v>0</v>
      </c>
      <c r="M209">
        <v>0</v>
      </c>
      <c r="N209">
        <v>0</v>
      </c>
      <c r="O209">
        <v>10</v>
      </c>
      <c r="P209">
        <v>0</v>
      </c>
      <c r="Q209">
        <v>0</v>
      </c>
      <c r="R209">
        <v>0</v>
      </c>
      <c r="S209">
        <v>0</v>
      </c>
      <c r="T209">
        <v>0</v>
      </c>
      <c r="U209">
        <v>0</v>
      </c>
      <c r="V209">
        <v>10</v>
      </c>
      <c r="W209" t="s">
        <v>492</v>
      </c>
      <c r="AK209" t="s">
        <v>621</v>
      </c>
    </row>
    <row r="210" spans="1:37" x14ac:dyDescent="0.25">
      <c r="A210" s="163">
        <v>46181</v>
      </c>
      <c r="B210" s="163">
        <v>46181</v>
      </c>
      <c r="C210">
        <v>3</v>
      </c>
      <c r="D210" t="s">
        <v>86</v>
      </c>
      <c r="E210">
        <v>31536</v>
      </c>
      <c r="G210">
        <v>1</v>
      </c>
      <c r="H210">
        <v>20436546</v>
      </c>
      <c r="I210" t="s">
        <v>209</v>
      </c>
      <c r="J210">
        <v>0</v>
      </c>
      <c r="K210">
        <v>0</v>
      </c>
      <c r="L210">
        <v>0</v>
      </c>
      <c r="M210">
        <v>0</v>
      </c>
      <c r="N210">
        <v>0</v>
      </c>
      <c r="O210">
        <v>5</v>
      </c>
      <c r="P210">
        <v>0</v>
      </c>
      <c r="Q210">
        <v>0</v>
      </c>
      <c r="R210">
        <v>0</v>
      </c>
      <c r="S210">
        <v>0</v>
      </c>
      <c r="T210">
        <v>0</v>
      </c>
      <c r="U210">
        <v>0</v>
      </c>
      <c r="V210">
        <v>5</v>
      </c>
      <c r="W210" t="s">
        <v>492</v>
      </c>
      <c r="AK210" t="s">
        <v>618</v>
      </c>
    </row>
    <row r="211" spans="1:37" x14ac:dyDescent="0.25">
      <c r="A211" s="163">
        <v>46203</v>
      </c>
      <c r="B211" s="163">
        <v>46203</v>
      </c>
      <c r="C211">
        <v>3</v>
      </c>
      <c r="D211" t="s">
        <v>86</v>
      </c>
      <c r="E211">
        <v>31832</v>
      </c>
      <c r="G211">
        <v>1</v>
      </c>
      <c r="H211">
        <v>47028229</v>
      </c>
      <c r="I211" t="s">
        <v>443</v>
      </c>
      <c r="J211">
        <v>0</v>
      </c>
      <c r="K211">
        <v>0</v>
      </c>
      <c r="L211">
        <v>0</v>
      </c>
      <c r="M211">
        <v>0</v>
      </c>
      <c r="N211">
        <v>0</v>
      </c>
      <c r="O211">
        <v>15.9</v>
      </c>
      <c r="P211">
        <v>0</v>
      </c>
      <c r="Q211">
        <v>0</v>
      </c>
      <c r="R211">
        <v>0</v>
      </c>
      <c r="S211">
        <v>0</v>
      </c>
      <c r="T211">
        <v>0</v>
      </c>
      <c r="U211">
        <v>0</v>
      </c>
      <c r="V211">
        <v>15.9</v>
      </c>
      <c r="W211" t="s">
        <v>492</v>
      </c>
      <c r="AK211" t="s">
        <v>911</v>
      </c>
    </row>
    <row r="212" spans="1:37" x14ac:dyDescent="0.25">
      <c r="A212" s="163">
        <v>46189</v>
      </c>
      <c r="B212" s="163">
        <v>46189</v>
      </c>
      <c r="C212">
        <v>3</v>
      </c>
      <c r="D212" t="s">
        <v>86</v>
      </c>
      <c r="E212">
        <v>31651</v>
      </c>
      <c r="G212">
        <v>1</v>
      </c>
      <c r="H212">
        <v>18140799</v>
      </c>
      <c r="I212" t="s">
        <v>257</v>
      </c>
      <c r="J212">
        <v>0</v>
      </c>
      <c r="K212">
        <v>0</v>
      </c>
      <c r="L212">
        <v>0</v>
      </c>
      <c r="M212">
        <v>0</v>
      </c>
      <c r="N212">
        <v>0</v>
      </c>
      <c r="O212">
        <v>31</v>
      </c>
      <c r="P212">
        <v>0</v>
      </c>
      <c r="Q212">
        <v>0</v>
      </c>
      <c r="R212">
        <v>0</v>
      </c>
      <c r="S212">
        <v>0</v>
      </c>
      <c r="T212">
        <v>0</v>
      </c>
      <c r="U212">
        <v>0</v>
      </c>
      <c r="V212">
        <v>31</v>
      </c>
      <c r="W212" t="s">
        <v>492</v>
      </c>
      <c r="AK212" t="s">
        <v>730</v>
      </c>
    </row>
    <row r="213" spans="1:37" x14ac:dyDescent="0.25">
      <c r="A213" s="163">
        <v>46178</v>
      </c>
      <c r="B213" s="163">
        <v>46178</v>
      </c>
      <c r="C213">
        <v>3</v>
      </c>
      <c r="D213" t="s">
        <v>86</v>
      </c>
      <c r="E213">
        <v>31488</v>
      </c>
      <c r="G213">
        <v>1</v>
      </c>
      <c r="H213">
        <v>44955035</v>
      </c>
      <c r="I213" t="s">
        <v>164</v>
      </c>
      <c r="J213">
        <v>0</v>
      </c>
      <c r="K213">
        <v>0</v>
      </c>
      <c r="L213">
        <v>0</v>
      </c>
      <c r="M213">
        <v>0</v>
      </c>
      <c r="N213">
        <v>0</v>
      </c>
      <c r="O213">
        <v>12.5</v>
      </c>
      <c r="P213">
        <v>0</v>
      </c>
      <c r="Q213">
        <v>0</v>
      </c>
      <c r="R213">
        <v>0</v>
      </c>
      <c r="S213">
        <v>0</v>
      </c>
      <c r="T213">
        <v>0</v>
      </c>
      <c r="U213">
        <v>0</v>
      </c>
      <c r="V213">
        <v>12.5</v>
      </c>
      <c r="W213" t="s">
        <v>492</v>
      </c>
      <c r="AK213" t="s">
        <v>572</v>
      </c>
    </row>
    <row r="214" spans="1:37" x14ac:dyDescent="0.25">
      <c r="A214" s="163">
        <v>46176</v>
      </c>
      <c r="B214" s="163">
        <v>46176</v>
      </c>
      <c r="C214">
        <v>3</v>
      </c>
      <c r="D214" t="s">
        <v>86</v>
      </c>
      <c r="E214">
        <v>31456</v>
      </c>
      <c r="G214">
        <v>6</v>
      </c>
      <c r="H214">
        <v>20518164717</v>
      </c>
      <c r="I214" t="s">
        <v>118</v>
      </c>
      <c r="J214">
        <v>0</v>
      </c>
      <c r="K214">
        <v>0</v>
      </c>
      <c r="L214">
        <v>0</v>
      </c>
      <c r="M214">
        <v>0</v>
      </c>
      <c r="N214">
        <v>0</v>
      </c>
      <c r="O214">
        <v>13.6</v>
      </c>
      <c r="P214">
        <v>0</v>
      </c>
      <c r="Q214">
        <v>0</v>
      </c>
      <c r="R214">
        <v>0</v>
      </c>
      <c r="S214">
        <v>0</v>
      </c>
      <c r="T214">
        <v>0</v>
      </c>
      <c r="U214">
        <v>0</v>
      </c>
      <c r="V214">
        <v>13.6</v>
      </c>
      <c r="W214" t="s">
        <v>492</v>
      </c>
      <c r="AK214" t="s">
        <v>541</v>
      </c>
    </row>
    <row r="215" spans="1:37" x14ac:dyDescent="0.25">
      <c r="A215" s="163">
        <v>46191</v>
      </c>
      <c r="B215" s="163">
        <v>46191</v>
      </c>
      <c r="C215">
        <v>3</v>
      </c>
      <c r="D215" t="s">
        <v>86</v>
      </c>
      <c r="E215">
        <v>31677</v>
      </c>
      <c r="G215">
        <v>1</v>
      </c>
      <c r="H215">
        <v>71016054</v>
      </c>
      <c r="I215" t="s">
        <v>316</v>
      </c>
      <c r="J215">
        <v>0</v>
      </c>
      <c r="K215">
        <v>0</v>
      </c>
      <c r="L215">
        <v>0</v>
      </c>
      <c r="M215">
        <v>0</v>
      </c>
      <c r="N215">
        <v>0</v>
      </c>
      <c r="O215">
        <v>37.5</v>
      </c>
      <c r="P215">
        <v>0</v>
      </c>
      <c r="Q215">
        <v>0</v>
      </c>
      <c r="R215">
        <v>0</v>
      </c>
      <c r="S215">
        <v>0</v>
      </c>
      <c r="T215">
        <v>0</v>
      </c>
      <c r="U215">
        <v>0</v>
      </c>
      <c r="V215">
        <v>37.5</v>
      </c>
      <c r="W215" t="s">
        <v>492</v>
      </c>
      <c r="AK215" t="s">
        <v>756</v>
      </c>
    </row>
    <row r="216" spans="1:37" x14ac:dyDescent="0.25">
      <c r="A216" s="163">
        <v>46176</v>
      </c>
      <c r="B216" s="163">
        <v>46176</v>
      </c>
      <c r="C216">
        <v>3</v>
      </c>
      <c r="D216" t="s">
        <v>86</v>
      </c>
      <c r="E216">
        <v>31458</v>
      </c>
      <c r="G216">
        <v>1</v>
      </c>
      <c r="H216">
        <v>20433530</v>
      </c>
      <c r="I216" t="s">
        <v>139</v>
      </c>
      <c r="J216">
        <v>0</v>
      </c>
      <c r="K216">
        <v>0</v>
      </c>
      <c r="L216">
        <v>0</v>
      </c>
      <c r="M216">
        <v>0</v>
      </c>
      <c r="N216">
        <v>0</v>
      </c>
      <c r="O216">
        <v>15</v>
      </c>
      <c r="P216">
        <v>0</v>
      </c>
      <c r="Q216">
        <v>0</v>
      </c>
      <c r="R216">
        <v>0</v>
      </c>
      <c r="S216">
        <v>0</v>
      </c>
      <c r="T216">
        <v>0</v>
      </c>
      <c r="U216">
        <v>0</v>
      </c>
      <c r="V216">
        <v>15</v>
      </c>
      <c r="W216" t="s">
        <v>492</v>
      </c>
      <c r="AK216" t="s">
        <v>543</v>
      </c>
    </row>
    <row r="217" spans="1:37" x14ac:dyDescent="0.25">
      <c r="A217" s="163">
        <v>46203</v>
      </c>
      <c r="B217" s="163">
        <v>46203</v>
      </c>
      <c r="C217">
        <v>3</v>
      </c>
      <c r="D217" t="s">
        <v>86</v>
      </c>
      <c r="E217">
        <v>31835</v>
      </c>
      <c r="G217">
        <v>1</v>
      </c>
      <c r="H217">
        <v>42739951</v>
      </c>
      <c r="I217" t="s">
        <v>445</v>
      </c>
      <c r="J217">
        <v>0</v>
      </c>
      <c r="K217">
        <v>0</v>
      </c>
      <c r="L217">
        <v>0</v>
      </c>
      <c r="M217">
        <v>0</v>
      </c>
      <c r="N217">
        <v>0</v>
      </c>
      <c r="O217">
        <v>15</v>
      </c>
      <c r="P217">
        <v>0</v>
      </c>
      <c r="Q217">
        <v>0</v>
      </c>
      <c r="R217">
        <v>0</v>
      </c>
      <c r="S217">
        <v>0</v>
      </c>
      <c r="T217">
        <v>0</v>
      </c>
      <c r="U217">
        <v>0</v>
      </c>
      <c r="V217">
        <v>15</v>
      </c>
      <c r="W217" t="s">
        <v>492</v>
      </c>
      <c r="AK217" t="s">
        <v>914</v>
      </c>
    </row>
    <row r="218" spans="1:37" x14ac:dyDescent="0.25">
      <c r="A218" s="163">
        <v>46176</v>
      </c>
      <c r="B218" s="163">
        <v>46176</v>
      </c>
      <c r="C218">
        <v>3</v>
      </c>
      <c r="D218" t="s">
        <v>86</v>
      </c>
      <c r="E218">
        <v>31455</v>
      </c>
      <c r="G218">
        <v>6</v>
      </c>
      <c r="H218">
        <v>20603590687</v>
      </c>
      <c r="I218" t="s">
        <v>137</v>
      </c>
      <c r="J218">
        <v>0</v>
      </c>
      <c r="K218">
        <v>0</v>
      </c>
      <c r="L218">
        <v>0</v>
      </c>
      <c r="M218">
        <v>0</v>
      </c>
      <c r="N218">
        <v>0</v>
      </c>
      <c r="O218">
        <v>7.5</v>
      </c>
      <c r="P218">
        <v>0</v>
      </c>
      <c r="Q218">
        <v>0</v>
      </c>
      <c r="R218">
        <v>0</v>
      </c>
      <c r="S218">
        <v>0</v>
      </c>
      <c r="T218">
        <v>0</v>
      </c>
      <c r="U218">
        <v>0</v>
      </c>
      <c r="V218">
        <v>7.5</v>
      </c>
      <c r="W218" t="s">
        <v>492</v>
      </c>
      <c r="AK218" t="s">
        <v>540</v>
      </c>
    </row>
    <row r="219" spans="1:37" x14ac:dyDescent="0.25">
      <c r="A219" s="163">
        <v>46189</v>
      </c>
      <c r="B219" s="163">
        <v>46189</v>
      </c>
      <c r="C219">
        <v>3</v>
      </c>
      <c r="D219" t="s">
        <v>86</v>
      </c>
      <c r="E219">
        <v>31647</v>
      </c>
      <c r="G219">
        <v>1</v>
      </c>
      <c r="H219">
        <v>20713338</v>
      </c>
      <c r="I219" t="s">
        <v>297</v>
      </c>
      <c r="J219">
        <v>0</v>
      </c>
      <c r="K219">
        <v>0</v>
      </c>
      <c r="L219">
        <v>0</v>
      </c>
      <c r="M219">
        <v>0</v>
      </c>
      <c r="N219">
        <v>0</v>
      </c>
      <c r="O219">
        <v>50</v>
      </c>
      <c r="P219">
        <v>0</v>
      </c>
      <c r="Q219">
        <v>0</v>
      </c>
      <c r="R219">
        <v>0</v>
      </c>
      <c r="S219">
        <v>0</v>
      </c>
      <c r="T219">
        <v>0</v>
      </c>
      <c r="U219">
        <v>0</v>
      </c>
      <c r="V219">
        <v>50</v>
      </c>
      <c r="W219" t="s">
        <v>492</v>
      </c>
      <c r="AK219" t="s">
        <v>726</v>
      </c>
    </row>
    <row r="220" spans="1:37" x14ac:dyDescent="0.25">
      <c r="A220" s="163">
        <v>46191</v>
      </c>
      <c r="B220" s="163">
        <v>46191</v>
      </c>
      <c r="C220">
        <v>3</v>
      </c>
      <c r="D220" t="s">
        <v>86</v>
      </c>
      <c r="E220">
        <v>31676</v>
      </c>
      <c r="G220">
        <v>1</v>
      </c>
      <c r="H220">
        <v>45732811</v>
      </c>
      <c r="I220" t="s">
        <v>315</v>
      </c>
      <c r="J220">
        <v>0</v>
      </c>
      <c r="K220">
        <v>0</v>
      </c>
      <c r="L220">
        <v>0</v>
      </c>
      <c r="M220">
        <v>0</v>
      </c>
      <c r="N220">
        <v>0</v>
      </c>
      <c r="O220">
        <v>50</v>
      </c>
      <c r="P220">
        <v>0</v>
      </c>
      <c r="Q220">
        <v>0</v>
      </c>
      <c r="R220">
        <v>0</v>
      </c>
      <c r="S220">
        <v>0</v>
      </c>
      <c r="T220">
        <v>0</v>
      </c>
      <c r="U220">
        <v>0</v>
      </c>
      <c r="V220">
        <v>50</v>
      </c>
      <c r="W220" t="s">
        <v>492</v>
      </c>
      <c r="AK220" t="s">
        <v>755</v>
      </c>
    </row>
    <row r="221" spans="1:37" x14ac:dyDescent="0.25">
      <c r="A221" s="163">
        <v>46183</v>
      </c>
      <c r="B221" s="163">
        <v>46183</v>
      </c>
      <c r="C221">
        <v>3</v>
      </c>
      <c r="D221" t="s">
        <v>86</v>
      </c>
      <c r="E221">
        <v>31559</v>
      </c>
      <c r="G221">
        <v>1</v>
      </c>
      <c r="H221">
        <v>43733683</v>
      </c>
      <c r="I221" t="s">
        <v>229</v>
      </c>
      <c r="J221">
        <v>0</v>
      </c>
      <c r="K221">
        <v>0</v>
      </c>
      <c r="L221">
        <v>0</v>
      </c>
      <c r="M221">
        <v>0</v>
      </c>
      <c r="N221">
        <v>0</v>
      </c>
      <c r="O221">
        <v>125</v>
      </c>
      <c r="P221">
        <v>0</v>
      </c>
      <c r="Q221">
        <v>0</v>
      </c>
      <c r="R221">
        <v>0</v>
      </c>
      <c r="S221">
        <v>0</v>
      </c>
      <c r="T221">
        <v>0</v>
      </c>
      <c r="U221">
        <v>0</v>
      </c>
      <c r="V221">
        <v>125</v>
      </c>
      <c r="W221" t="s">
        <v>492</v>
      </c>
      <c r="AK221" t="s">
        <v>640</v>
      </c>
    </row>
    <row r="222" spans="1:37" x14ac:dyDescent="0.25">
      <c r="A222" s="163">
        <v>46189</v>
      </c>
      <c r="B222" s="163">
        <v>46189</v>
      </c>
      <c r="C222">
        <v>3</v>
      </c>
      <c r="D222" t="s">
        <v>86</v>
      </c>
      <c r="E222">
        <v>31648</v>
      </c>
      <c r="G222">
        <v>1</v>
      </c>
      <c r="H222">
        <v>20010638</v>
      </c>
      <c r="I222" t="s">
        <v>298</v>
      </c>
      <c r="J222">
        <v>0</v>
      </c>
      <c r="K222">
        <v>0</v>
      </c>
      <c r="L222">
        <v>0</v>
      </c>
      <c r="M222">
        <v>0</v>
      </c>
      <c r="N222">
        <v>0</v>
      </c>
      <c r="O222">
        <v>5</v>
      </c>
      <c r="P222">
        <v>0</v>
      </c>
      <c r="Q222">
        <v>0</v>
      </c>
      <c r="R222">
        <v>0</v>
      </c>
      <c r="S222">
        <v>0</v>
      </c>
      <c r="T222">
        <v>0</v>
      </c>
      <c r="U222">
        <v>0</v>
      </c>
      <c r="V222">
        <v>5</v>
      </c>
      <c r="W222" t="s">
        <v>492</v>
      </c>
      <c r="AK222" t="s">
        <v>727</v>
      </c>
    </row>
    <row r="223" spans="1:37" x14ac:dyDescent="0.25">
      <c r="A223" s="163">
        <v>46176</v>
      </c>
      <c r="B223" s="163">
        <v>46176</v>
      </c>
      <c r="C223">
        <v>3</v>
      </c>
      <c r="D223" t="s">
        <v>86</v>
      </c>
      <c r="E223">
        <v>31454</v>
      </c>
      <c r="G223">
        <v>1</v>
      </c>
      <c r="H223">
        <v>20113289</v>
      </c>
      <c r="I223" t="s">
        <v>136</v>
      </c>
      <c r="J223">
        <v>0</v>
      </c>
      <c r="K223">
        <v>0</v>
      </c>
      <c r="L223">
        <v>0</v>
      </c>
      <c r="M223">
        <v>0</v>
      </c>
      <c r="N223">
        <v>0</v>
      </c>
      <c r="O223">
        <v>50</v>
      </c>
      <c r="P223">
        <v>0</v>
      </c>
      <c r="Q223">
        <v>0</v>
      </c>
      <c r="R223">
        <v>0</v>
      </c>
      <c r="S223">
        <v>0</v>
      </c>
      <c r="T223">
        <v>0</v>
      </c>
      <c r="U223">
        <v>0</v>
      </c>
      <c r="V223">
        <v>50</v>
      </c>
      <c r="W223" t="s">
        <v>492</v>
      </c>
      <c r="AK223" t="s">
        <v>539</v>
      </c>
    </row>
    <row r="224" spans="1:37" x14ac:dyDescent="0.25">
      <c r="A224" s="163">
        <v>46197</v>
      </c>
      <c r="B224" s="163">
        <v>46197</v>
      </c>
      <c r="C224">
        <v>3</v>
      </c>
      <c r="D224" t="s">
        <v>86</v>
      </c>
      <c r="E224">
        <v>31759</v>
      </c>
      <c r="G224">
        <v>1</v>
      </c>
      <c r="H224">
        <v>19866297</v>
      </c>
      <c r="I224" t="s">
        <v>381</v>
      </c>
      <c r="J224">
        <v>0</v>
      </c>
      <c r="K224">
        <v>0</v>
      </c>
      <c r="L224">
        <v>0</v>
      </c>
      <c r="M224">
        <v>0</v>
      </c>
      <c r="N224">
        <v>0</v>
      </c>
      <c r="O224">
        <v>10</v>
      </c>
      <c r="P224">
        <v>0</v>
      </c>
      <c r="Q224">
        <v>0</v>
      </c>
      <c r="R224">
        <v>0</v>
      </c>
      <c r="S224">
        <v>0</v>
      </c>
      <c r="T224">
        <v>0</v>
      </c>
      <c r="U224">
        <v>0</v>
      </c>
      <c r="V224">
        <v>10</v>
      </c>
      <c r="W224" t="s">
        <v>492</v>
      </c>
      <c r="AK224" t="s">
        <v>840</v>
      </c>
    </row>
    <row r="225" spans="1:37" x14ac:dyDescent="0.25">
      <c r="A225" s="163">
        <v>46197</v>
      </c>
      <c r="B225" s="163">
        <v>46197</v>
      </c>
      <c r="C225">
        <v>3</v>
      </c>
      <c r="D225" t="s">
        <v>86</v>
      </c>
      <c r="E225">
        <v>31754</v>
      </c>
      <c r="G225">
        <v>6</v>
      </c>
      <c r="H225">
        <v>20603590687</v>
      </c>
      <c r="I225" t="s">
        <v>137</v>
      </c>
      <c r="J225">
        <v>0</v>
      </c>
      <c r="K225">
        <v>0</v>
      </c>
      <c r="L225">
        <v>0</v>
      </c>
      <c r="M225">
        <v>0</v>
      </c>
      <c r="N225">
        <v>0</v>
      </c>
      <c r="O225">
        <v>20</v>
      </c>
      <c r="P225">
        <v>0</v>
      </c>
      <c r="Q225">
        <v>0</v>
      </c>
      <c r="R225">
        <v>0</v>
      </c>
      <c r="S225">
        <v>0</v>
      </c>
      <c r="T225">
        <v>0</v>
      </c>
      <c r="U225">
        <v>0</v>
      </c>
      <c r="V225">
        <v>20</v>
      </c>
      <c r="W225" t="s">
        <v>492</v>
      </c>
      <c r="AK225" t="s">
        <v>834</v>
      </c>
    </row>
    <row r="226" spans="1:37" x14ac:dyDescent="0.25">
      <c r="A226" s="163">
        <v>46176</v>
      </c>
      <c r="B226" s="163">
        <v>46176</v>
      </c>
      <c r="C226">
        <v>3</v>
      </c>
      <c r="D226" t="s">
        <v>86</v>
      </c>
      <c r="E226">
        <v>31459</v>
      </c>
      <c r="G226">
        <v>1</v>
      </c>
      <c r="H226">
        <v>20082253</v>
      </c>
      <c r="I226" t="s">
        <v>140</v>
      </c>
      <c r="J226">
        <v>0</v>
      </c>
      <c r="K226">
        <v>0</v>
      </c>
      <c r="L226">
        <v>0</v>
      </c>
      <c r="M226">
        <v>0</v>
      </c>
      <c r="N226">
        <v>0</v>
      </c>
      <c r="O226">
        <v>21</v>
      </c>
      <c r="P226">
        <v>0</v>
      </c>
      <c r="Q226">
        <v>0</v>
      </c>
      <c r="R226">
        <v>0</v>
      </c>
      <c r="S226">
        <v>0</v>
      </c>
      <c r="T226">
        <v>0</v>
      </c>
      <c r="U226">
        <v>0</v>
      </c>
      <c r="V226">
        <v>21</v>
      </c>
      <c r="W226" t="s">
        <v>492</v>
      </c>
      <c r="AK226" t="s">
        <v>544</v>
      </c>
    </row>
    <row r="227" spans="1:37" x14ac:dyDescent="0.25">
      <c r="A227" s="163">
        <v>46191</v>
      </c>
      <c r="B227" s="163">
        <v>46191</v>
      </c>
      <c r="C227">
        <v>3</v>
      </c>
      <c r="D227" t="s">
        <v>86</v>
      </c>
      <c r="E227">
        <v>31683</v>
      </c>
      <c r="G227">
        <v>1</v>
      </c>
      <c r="H227">
        <v>20432500</v>
      </c>
      <c r="I227" t="s">
        <v>321</v>
      </c>
      <c r="J227">
        <v>0</v>
      </c>
      <c r="K227">
        <v>0</v>
      </c>
      <c r="L227">
        <v>0</v>
      </c>
      <c r="M227">
        <v>0</v>
      </c>
      <c r="N227">
        <v>0</v>
      </c>
      <c r="O227">
        <v>345</v>
      </c>
      <c r="P227">
        <v>0</v>
      </c>
      <c r="Q227">
        <v>0</v>
      </c>
      <c r="R227">
        <v>0</v>
      </c>
      <c r="S227">
        <v>0</v>
      </c>
      <c r="T227">
        <v>0</v>
      </c>
      <c r="U227">
        <v>0</v>
      </c>
      <c r="V227">
        <v>345</v>
      </c>
      <c r="W227" t="s">
        <v>492</v>
      </c>
      <c r="AK227" t="s">
        <v>762</v>
      </c>
    </row>
    <row r="228" spans="1:37" x14ac:dyDescent="0.25">
      <c r="A228" s="163">
        <v>46203</v>
      </c>
      <c r="B228" s="163">
        <v>46203</v>
      </c>
      <c r="C228">
        <v>3</v>
      </c>
      <c r="D228" t="s">
        <v>86</v>
      </c>
      <c r="E228">
        <v>31837</v>
      </c>
      <c r="G228">
        <v>1</v>
      </c>
      <c r="H228">
        <v>19928969</v>
      </c>
      <c r="I228" t="s">
        <v>446</v>
      </c>
      <c r="J228">
        <v>0</v>
      </c>
      <c r="K228">
        <v>0</v>
      </c>
      <c r="L228">
        <v>0</v>
      </c>
      <c r="M228">
        <v>0</v>
      </c>
      <c r="N228">
        <v>0</v>
      </c>
      <c r="O228">
        <v>12.5</v>
      </c>
      <c r="P228">
        <v>0</v>
      </c>
      <c r="Q228">
        <v>0</v>
      </c>
      <c r="R228">
        <v>0</v>
      </c>
      <c r="S228">
        <v>0</v>
      </c>
      <c r="T228">
        <v>0</v>
      </c>
      <c r="U228">
        <v>0</v>
      </c>
      <c r="V228">
        <v>12.5</v>
      </c>
      <c r="W228" t="s">
        <v>492</v>
      </c>
      <c r="AK228" t="s">
        <v>916</v>
      </c>
    </row>
    <row r="229" spans="1:37" x14ac:dyDescent="0.25">
      <c r="A229" s="163">
        <v>46197</v>
      </c>
      <c r="B229" s="163">
        <v>46197</v>
      </c>
      <c r="C229">
        <v>3</v>
      </c>
      <c r="D229" t="s">
        <v>86</v>
      </c>
      <c r="E229">
        <v>31766</v>
      </c>
      <c r="G229">
        <v>1</v>
      </c>
      <c r="H229">
        <v>40161476</v>
      </c>
      <c r="I229" t="s">
        <v>189</v>
      </c>
      <c r="J229">
        <v>0</v>
      </c>
      <c r="K229">
        <v>0</v>
      </c>
      <c r="L229">
        <v>0</v>
      </c>
      <c r="M229">
        <v>0</v>
      </c>
      <c r="N229">
        <v>0</v>
      </c>
      <c r="O229">
        <v>8</v>
      </c>
      <c r="P229">
        <v>0</v>
      </c>
      <c r="Q229">
        <v>0</v>
      </c>
      <c r="R229">
        <v>0</v>
      </c>
      <c r="S229">
        <v>0</v>
      </c>
      <c r="T229">
        <v>0</v>
      </c>
      <c r="U229">
        <v>0</v>
      </c>
      <c r="V229">
        <v>8</v>
      </c>
      <c r="W229" t="s">
        <v>492</v>
      </c>
      <c r="AK229" t="s">
        <v>846</v>
      </c>
    </row>
    <row r="230" spans="1:37" x14ac:dyDescent="0.25">
      <c r="A230" s="163">
        <v>46191</v>
      </c>
      <c r="B230" s="163">
        <v>46191</v>
      </c>
      <c r="C230">
        <v>3</v>
      </c>
      <c r="D230" t="s">
        <v>86</v>
      </c>
      <c r="E230">
        <v>31678</v>
      </c>
      <c r="G230">
        <v>1</v>
      </c>
      <c r="H230">
        <v>70380157</v>
      </c>
      <c r="I230" t="s">
        <v>194</v>
      </c>
      <c r="J230">
        <v>0</v>
      </c>
      <c r="K230">
        <v>0</v>
      </c>
      <c r="L230">
        <v>0</v>
      </c>
      <c r="M230">
        <v>0</v>
      </c>
      <c r="N230">
        <v>0</v>
      </c>
      <c r="O230">
        <v>47.7</v>
      </c>
      <c r="P230">
        <v>0</v>
      </c>
      <c r="Q230">
        <v>0</v>
      </c>
      <c r="R230">
        <v>0</v>
      </c>
      <c r="S230">
        <v>0</v>
      </c>
      <c r="T230">
        <v>0</v>
      </c>
      <c r="U230">
        <v>0</v>
      </c>
      <c r="V230">
        <v>47.7</v>
      </c>
      <c r="W230" t="s">
        <v>492</v>
      </c>
      <c r="AK230" t="s">
        <v>757</v>
      </c>
    </row>
    <row r="231" spans="1:37" x14ac:dyDescent="0.25">
      <c r="A231" s="163">
        <v>46178</v>
      </c>
      <c r="B231" s="163">
        <v>46178</v>
      </c>
      <c r="C231">
        <v>3</v>
      </c>
      <c r="D231" t="s">
        <v>86</v>
      </c>
      <c r="E231">
        <v>31491</v>
      </c>
      <c r="G231">
        <v>1</v>
      </c>
      <c r="H231">
        <v>46897693</v>
      </c>
      <c r="I231" t="s">
        <v>167</v>
      </c>
      <c r="J231">
        <v>0</v>
      </c>
      <c r="K231">
        <v>0</v>
      </c>
      <c r="L231">
        <v>0</v>
      </c>
      <c r="M231">
        <v>0</v>
      </c>
      <c r="N231">
        <v>0</v>
      </c>
      <c r="O231">
        <v>15</v>
      </c>
      <c r="P231">
        <v>0</v>
      </c>
      <c r="Q231">
        <v>0</v>
      </c>
      <c r="R231">
        <v>0</v>
      </c>
      <c r="S231">
        <v>0</v>
      </c>
      <c r="T231">
        <v>0</v>
      </c>
      <c r="U231">
        <v>0</v>
      </c>
      <c r="V231">
        <v>15</v>
      </c>
      <c r="W231" t="s">
        <v>492</v>
      </c>
      <c r="AK231" t="s">
        <v>575</v>
      </c>
    </row>
    <row r="232" spans="1:37" x14ac:dyDescent="0.25">
      <c r="A232" s="163">
        <v>46183</v>
      </c>
      <c r="B232" s="163">
        <v>46183</v>
      </c>
      <c r="C232">
        <v>3</v>
      </c>
      <c r="D232" t="s">
        <v>86</v>
      </c>
      <c r="E232">
        <v>31558</v>
      </c>
      <c r="G232">
        <v>1</v>
      </c>
      <c r="H232">
        <v>48093616</v>
      </c>
      <c r="I232" t="s">
        <v>228</v>
      </c>
      <c r="J232">
        <v>0</v>
      </c>
      <c r="K232">
        <v>0</v>
      </c>
      <c r="L232">
        <v>0</v>
      </c>
      <c r="M232">
        <v>0</v>
      </c>
      <c r="N232">
        <v>0</v>
      </c>
      <c r="O232">
        <v>155</v>
      </c>
      <c r="P232">
        <v>0</v>
      </c>
      <c r="Q232">
        <v>0</v>
      </c>
      <c r="R232">
        <v>0</v>
      </c>
      <c r="S232">
        <v>0</v>
      </c>
      <c r="T232">
        <v>0</v>
      </c>
      <c r="U232">
        <v>0</v>
      </c>
      <c r="V232">
        <v>155</v>
      </c>
      <c r="W232" t="s">
        <v>492</v>
      </c>
      <c r="AK232" t="s">
        <v>639</v>
      </c>
    </row>
    <row r="233" spans="1:37" x14ac:dyDescent="0.25">
      <c r="A233" s="163">
        <v>46183</v>
      </c>
      <c r="B233" s="163">
        <v>46183</v>
      </c>
      <c r="C233">
        <v>3</v>
      </c>
      <c r="D233" t="s">
        <v>86</v>
      </c>
      <c r="E233">
        <v>31573</v>
      </c>
      <c r="G233">
        <v>1</v>
      </c>
      <c r="H233">
        <v>20109347</v>
      </c>
      <c r="I233" t="s">
        <v>240</v>
      </c>
      <c r="J233">
        <v>0</v>
      </c>
      <c r="K233">
        <v>0</v>
      </c>
      <c r="L233">
        <v>0</v>
      </c>
      <c r="M233">
        <v>0</v>
      </c>
      <c r="N233">
        <v>0</v>
      </c>
      <c r="O233">
        <v>16.7</v>
      </c>
      <c r="P233">
        <v>0</v>
      </c>
      <c r="Q233">
        <v>0</v>
      </c>
      <c r="R233">
        <v>0</v>
      </c>
      <c r="S233">
        <v>0</v>
      </c>
      <c r="T233">
        <v>0</v>
      </c>
      <c r="U233">
        <v>0</v>
      </c>
      <c r="V233">
        <v>16.7</v>
      </c>
      <c r="W233" t="s">
        <v>492</v>
      </c>
      <c r="AK233" t="s">
        <v>651</v>
      </c>
    </row>
    <row r="234" spans="1:37" x14ac:dyDescent="0.25">
      <c r="A234" s="163">
        <v>46197</v>
      </c>
      <c r="B234" s="163">
        <v>46197</v>
      </c>
      <c r="C234">
        <v>3</v>
      </c>
      <c r="D234" t="s">
        <v>86</v>
      </c>
      <c r="E234">
        <v>31761</v>
      </c>
      <c r="G234">
        <v>1</v>
      </c>
      <c r="H234">
        <v>61648804</v>
      </c>
      <c r="I234" t="s">
        <v>383</v>
      </c>
      <c r="J234">
        <v>0</v>
      </c>
      <c r="K234">
        <v>0</v>
      </c>
      <c r="L234">
        <v>0</v>
      </c>
      <c r="M234">
        <v>0</v>
      </c>
      <c r="N234">
        <v>0</v>
      </c>
      <c r="O234">
        <v>6</v>
      </c>
      <c r="P234">
        <v>0</v>
      </c>
      <c r="Q234">
        <v>0</v>
      </c>
      <c r="R234">
        <v>0</v>
      </c>
      <c r="S234">
        <v>0</v>
      </c>
      <c r="T234">
        <v>0</v>
      </c>
      <c r="U234">
        <v>0</v>
      </c>
      <c r="V234">
        <v>6</v>
      </c>
      <c r="W234" t="s">
        <v>492</v>
      </c>
      <c r="AK234" t="s">
        <v>842</v>
      </c>
    </row>
    <row r="235" spans="1:37" x14ac:dyDescent="0.25">
      <c r="A235" s="163">
        <v>46181</v>
      </c>
      <c r="B235" s="163">
        <v>46181</v>
      </c>
      <c r="C235">
        <v>3</v>
      </c>
      <c r="D235" t="s">
        <v>86</v>
      </c>
      <c r="E235">
        <v>31538</v>
      </c>
      <c r="G235">
        <v>1</v>
      </c>
      <c r="H235">
        <v>77299773</v>
      </c>
      <c r="I235" t="s">
        <v>211</v>
      </c>
      <c r="J235">
        <v>0</v>
      </c>
      <c r="K235">
        <v>0</v>
      </c>
      <c r="L235">
        <v>0</v>
      </c>
      <c r="M235">
        <v>0</v>
      </c>
      <c r="N235">
        <v>0</v>
      </c>
      <c r="O235">
        <v>7.5</v>
      </c>
      <c r="P235">
        <v>0</v>
      </c>
      <c r="Q235">
        <v>0</v>
      </c>
      <c r="R235">
        <v>0</v>
      </c>
      <c r="S235">
        <v>0</v>
      </c>
      <c r="T235">
        <v>0</v>
      </c>
      <c r="U235">
        <v>0</v>
      </c>
      <c r="V235">
        <v>7.5</v>
      </c>
      <c r="W235" t="s">
        <v>492</v>
      </c>
      <c r="AK235" t="s">
        <v>620</v>
      </c>
    </row>
    <row r="236" spans="1:37" x14ac:dyDescent="0.25">
      <c r="A236" s="163">
        <v>46196</v>
      </c>
      <c r="B236" s="163">
        <v>46196</v>
      </c>
      <c r="C236">
        <v>3</v>
      </c>
      <c r="D236" t="s">
        <v>86</v>
      </c>
      <c r="E236">
        <v>31738</v>
      </c>
      <c r="G236">
        <v>1</v>
      </c>
      <c r="H236">
        <v>20431971</v>
      </c>
      <c r="I236" t="s">
        <v>364</v>
      </c>
      <c r="J236">
        <v>0</v>
      </c>
      <c r="K236">
        <v>0</v>
      </c>
      <c r="L236">
        <v>0</v>
      </c>
      <c r="M236">
        <v>0</v>
      </c>
      <c r="N236">
        <v>0</v>
      </c>
      <c r="O236">
        <v>7.5</v>
      </c>
      <c r="P236">
        <v>0</v>
      </c>
      <c r="Q236">
        <v>0</v>
      </c>
      <c r="R236">
        <v>0</v>
      </c>
      <c r="S236">
        <v>0</v>
      </c>
      <c r="T236">
        <v>0</v>
      </c>
      <c r="U236">
        <v>0</v>
      </c>
      <c r="V236">
        <v>7.5</v>
      </c>
      <c r="W236" t="s">
        <v>492</v>
      </c>
      <c r="AK236" t="s">
        <v>818</v>
      </c>
    </row>
    <row r="237" spans="1:37" x14ac:dyDescent="0.25">
      <c r="A237" s="163">
        <v>46183</v>
      </c>
      <c r="B237" s="163">
        <v>46183</v>
      </c>
      <c r="C237">
        <v>3</v>
      </c>
      <c r="D237" t="s">
        <v>86</v>
      </c>
      <c r="E237">
        <v>31575</v>
      </c>
      <c r="G237">
        <v>1</v>
      </c>
      <c r="H237">
        <v>42083736</v>
      </c>
      <c r="I237" t="s">
        <v>242</v>
      </c>
      <c r="J237">
        <v>0</v>
      </c>
      <c r="K237">
        <v>0</v>
      </c>
      <c r="L237">
        <v>0</v>
      </c>
      <c r="M237">
        <v>0</v>
      </c>
      <c r="N237">
        <v>0</v>
      </c>
      <c r="O237">
        <v>13.7</v>
      </c>
      <c r="P237">
        <v>0</v>
      </c>
      <c r="Q237">
        <v>0</v>
      </c>
      <c r="R237">
        <v>0</v>
      </c>
      <c r="S237">
        <v>0</v>
      </c>
      <c r="T237">
        <v>0</v>
      </c>
      <c r="U237">
        <v>0</v>
      </c>
      <c r="V237">
        <v>13.7</v>
      </c>
      <c r="W237" t="s">
        <v>492</v>
      </c>
      <c r="AK237" t="s">
        <v>653</v>
      </c>
    </row>
    <row r="238" spans="1:37" x14ac:dyDescent="0.25">
      <c r="A238" s="163">
        <v>46196</v>
      </c>
      <c r="B238" s="163">
        <v>46196</v>
      </c>
      <c r="C238">
        <v>3</v>
      </c>
      <c r="D238" t="s">
        <v>86</v>
      </c>
      <c r="E238">
        <v>31750</v>
      </c>
      <c r="G238">
        <v>1</v>
      </c>
      <c r="H238">
        <v>20403597</v>
      </c>
      <c r="I238" t="s">
        <v>374</v>
      </c>
      <c r="J238">
        <v>0</v>
      </c>
      <c r="K238">
        <v>0</v>
      </c>
      <c r="L238">
        <v>0</v>
      </c>
      <c r="M238">
        <v>0</v>
      </c>
      <c r="N238">
        <v>0</v>
      </c>
      <c r="O238">
        <v>22.5</v>
      </c>
      <c r="P238">
        <v>0</v>
      </c>
      <c r="Q238">
        <v>0</v>
      </c>
      <c r="R238">
        <v>0</v>
      </c>
      <c r="S238">
        <v>0</v>
      </c>
      <c r="T238">
        <v>0</v>
      </c>
      <c r="U238">
        <v>0</v>
      </c>
      <c r="V238">
        <v>22.5</v>
      </c>
      <c r="W238" t="s">
        <v>492</v>
      </c>
      <c r="AK238" t="s">
        <v>830</v>
      </c>
    </row>
    <row r="239" spans="1:37" x14ac:dyDescent="0.25">
      <c r="A239" s="163">
        <v>46190</v>
      </c>
      <c r="B239" s="163">
        <v>46190</v>
      </c>
      <c r="C239">
        <v>3</v>
      </c>
      <c r="D239" t="s">
        <v>86</v>
      </c>
      <c r="E239">
        <v>31671</v>
      </c>
      <c r="G239">
        <v>1</v>
      </c>
      <c r="H239">
        <v>47728716</v>
      </c>
      <c r="I239" t="s">
        <v>313</v>
      </c>
      <c r="J239">
        <v>0</v>
      </c>
      <c r="K239">
        <v>0</v>
      </c>
      <c r="L239">
        <v>0</v>
      </c>
      <c r="M239">
        <v>0</v>
      </c>
      <c r="N239">
        <v>0</v>
      </c>
      <c r="O239">
        <v>30</v>
      </c>
      <c r="P239">
        <v>0</v>
      </c>
      <c r="Q239">
        <v>0</v>
      </c>
      <c r="R239">
        <v>0</v>
      </c>
      <c r="S239">
        <v>0</v>
      </c>
      <c r="T239">
        <v>0</v>
      </c>
      <c r="U239">
        <v>0</v>
      </c>
      <c r="V239">
        <v>30</v>
      </c>
      <c r="W239" t="s">
        <v>492</v>
      </c>
      <c r="AK239" t="s">
        <v>750</v>
      </c>
    </row>
    <row r="240" spans="1:37" x14ac:dyDescent="0.25">
      <c r="A240" s="163">
        <v>46191</v>
      </c>
      <c r="B240" s="163">
        <v>46191</v>
      </c>
      <c r="C240">
        <v>3</v>
      </c>
      <c r="D240" t="s">
        <v>86</v>
      </c>
      <c r="E240">
        <v>31675</v>
      </c>
      <c r="G240">
        <v>1</v>
      </c>
      <c r="H240">
        <v>71016054</v>
      </c>
      <c r="I240" t="s">
        <v>316</v>
      </c>
      <c r="J240">
        <v>0</v>
      </c>
      <c r="K240">
        <v>0</v>
      </c>
      <c r="L240">
        <v>0</v>
      </c>
      <c r="M240">
        <v>0</v>
      </c>
      <c r="N240">
        <v>0</v>
      </c>
      <c r="O240">
        <v>50</v>
      </c>
      <c r="P240">
        <v>0</v>
      </c>
      <c r="Q240">
        <v>0</v>
      </c>
      <c r="R240">
        <v>0</v>
      </c>
      <c r="S240">
        <v>0</v>
      </c>
      <c r="T240">
        <v>0</v>
      </c>
      <c r="U240">
        <v>0</v>
      </c>
      <c r="V240">
        <v>50</v>
      </c>
      <c r="W240" t="s">
        <v>492</v>
      </c>
      <c r="AK240" t="s">
        <v>754</v>
      </c>
    </row>
    <row r="241" spans="1:37" x14ac:dyDescent="0.25">
      <c r="A241" s="163">
        <v>46185</v>
      </c>
      <c r="B241" s="163">
        <v>46185</v>
      </c>
      <c r="C241">
        <v>3</v>
      </c>
      <c r="D241" t="s">
        <v>86</v>
      </c>
      <c r="E241">
        <v>31594</v>
      </c>
      <c r="G241">
        <v>1</v>
      </c>
      <c r="H241">
        <v>18079654</v>
      </c>
      <c r="I241" t="s">
        <v>256</v>
      </c>
      <c r="J241">
        <v>0</v>
      </c>
      <c r="K241">
        <v>0</v>
      </c>
      <c r="L241">
        <v>0</v>
      </c>
      <c r="M241">
        <v>0</v>
      </c>
      <c r="N241">
        <v>0</v>
      </c>
      <c r="O241">
        <v>15</v>
      </c>
      <c r="P241">
        <v>0</v>
      </c>
      <c r="Q241">
        <v>0</v>
      </c>
      <c r="R241">
        <v>0</v>
      </c>
      <c r="S241">
        <v>0</v>
      </c>
      <c r="T241">
        <v>0</v>
      </c>
      <c r="U241">
        <v>0</v>
      </c>
      <c r="V241">
        <v>15</v>
      </c>
      <c r="W241" t="s">
        <v>492</v>
      </c>
      <c r="AK241" t="s">
        <v>674</v>
      </c>
    </row>
    <row r="242" spans="1:37" x14ac:dyDescent="0.25">
      <c r="A242" s="163">
        <v>46196</v>
      </c>
      <c r="B242" s="163">
        <v>46196</v>
      </c>
      <c r="C242">
        <v>3</v>
      </c>
      <c r="D242" t="s">
        <v>86</v>
      </c>
      <c r="E242">
        <v>31739</v>
      </c>
      <c r="G242">
        <v>1</v>
      </c>
      <c r="H242">
        <v>20431971</v>
      </c>
      <c r="I242" t="s">
        <v>364</v>
      </c>
      <c r="J242">
        <v>0</v>
      </c>
      <c r="K242">
        <v>0</v>
      </c>
      <c r="L242">
        <v>0</v>
      </c>
      <c r="M242">
        <v>0</v>
      </c>
      <c r="N242">
        <v>0</v>
      </c>
      <c r="O242">
        <v>12.5</v>
      </c>
      <c r="P242">
        <v>0</v>
      </c>
      <c r="Q242">
        <v>0</v>
      </c>
      <c r="R242">
        <v>0</v>
      </c>
      <c r="S242">
        <v>0</v>
      </c>
      <c r="T242">
        <v>0</v>
      </c>
      <c r="U242">
        <v>0</v>
      </c>
      <c r="V242">
        <v>12.5</v>
      </c>
      <c r="W242" t="s">
        <v>492</v>
      </c>
      <c r="AK242" t="s">
        <v>819</v>
      </c>
    </row>
    <row r="243" spans="1:37" x14ac:dyDescent="0.25">
      <c r="A243" s="163">
        <v>46177</v>
      </c>
      <c r="B243" s="163">
        <v>46177</v>
      </c>
      <c r="C243">
        <v>3</v>
      </c>
      <c r="D243" t="s">
        <v>86</v>
      </c>
      <c r="E243">
        <v>31480</v>
      </c>
      <c r="G243">
        <v>1</v>
      </c>
      <c r="H243">
        <v>45547961</v>
      </c>
      <c r="I243" t="s">
        <v>161</v>
      </c>
      <c r="J243">
        <v>0</v>
      </c>
      <c r="K243">
        <v>0</v>
      </c>
      <c r="L243">
        <v>0</v>
      </c>
      <c r="M243">
        <v>0</v>
      </c>
      <c r="N243">
        <v>0</v>
      </c>
      <c r="O243">
        <v>30</v>
      </c>
      <c r="P243">
        <v>0</v>
      </c>
      <c r="Q243">
        <v>0</v>
      </c>
      <c r="R243">
        <v>0</v>
      </c>
      <c r="S243">
        <v>0</v>
      </c>
      <c r="T243">
        <v>0</v>
      </c>
      <c r="U243">
        <v>0</v>
      </c>
      <c r="V243">
        <v>30</v>
      </c>
      <c r="W243" t="s">
        <v>492</v>
      </c>
      <c r="AK243" t="s">
        <v>567</v>
      </c>
    </row>
    <row r="244" spans="1:37" x14ac:dyDescent="0.25">
      <c r="A244" s="163">
        <v>46176</v>
      </c>
      <c r="B244" s="163">
        <v>46176</v>
      </c>
      <c r="C244">
        <v>3</v>
      </c>
      <c r="D244" t="s">
        <v>86</v>
      </c>
      <c r="E244">
        <v>31457</v>
      </c>
      <c r="G244">
        <v>1</v>
      </c>
      <c r="H244">
        <v>21282745</v>
      </c>
      <c r="I244" t="s">
        <v>138</v>
      </c>
      <c r="J244">
        <v>0</v>
      </c>
      <c r="K244">
        <v>0</v>
      </c>
      <c r="L244">
        <v>0</v>
      </c>
      <c r="M244">
        <v>0</v>
      </c>
      <c r="N244">
        <v>0</v>
      </c>
      <c r="O244">
        <v>20</v>
      </c>
      <c r="P244">
        <v>0</v>
      </c>
      <c r="Q244">
        <v>0</v>
      </c>
      <c r="R244">
        <v>0</v>
      </c>
      <c r="S244">
        <v>0</v>
      </c>
      <c r="T244">
        <v>0</v>
      </c>
      <c r="U244">
        <v>0</v>
      </c>
      <c r="V244">
        <v>20</v>
      </c>
      <c r="W244" t="s">
        <v>492</v>
      </c>
      <c r="AK244" t="s">
        <v>542</v>
      </c>
    </row>
    <row r="245" spans="1:37" x14ac:dyDescent="0.25">
      <c r="A245" s="163">
        <v>46177</v>
      </c>
      <c r="B245" s="163">
        <v>46177</v>
      </c>
      <c r="C245">
        <v>3</v>
      </c>
      <c r="D245" t="s">
        <v>86</v>
      </c>
      <c r="E245">
        <v>31475</v>
      </c>
      <c r="G245">
        <v>1</v>
      </c>
      <c r="H245">
        <v>41573005</v>
      </c>
      <c r="I245" t="s">
        <v>154</v>
      </c>
      <c r="J245">
        <v>0</v>
      </c>
      <c r="K245">
        <v>0</v>
      </c>
      <c r="L245">
        <v>0</v>
      </c>
      <c r="M245">
        <v>0</v>
      </c>
      <c r="N245">
        <v>0</v>
      </c>
      <c r="O245">
        <v>20</v>
      </c>
      <c r="P245">
        <v>0</v>
      </c>
      <c r="Q245">
        <v>0</v>
      </c>
      <c r="R245">
        <v>0</v>
      </c>
      <c r="S245">
        <v>0</v>
      </c>
      <c r="T245">
        <v>0</v>
      </c>
      <c r="U245">
        <v>0</v>
      </c>
      <c r="V245">
        <v>20</v>
      </c>
      <c r="W245" t="s">
        <v>492</v>
      </c>
      <c r="AK245" t="s">
        <v>559</v>
      </c>
    </row>
    <row r="246" spans="1:37" x14ac:dyDescent="0.25">
      <c r="A246" s="163">
        <v>46196</v>
      </c>
      <c r="B246" s="163">
        <v>46196</v>
      </c>
      <c r="C246">
        <v>3</v>
      </c>
      <c r="D246" t="s">
        <v>86</v>
      </c>
      <c r="E246">
        <v>31752</v>
      </c>
      <c r="G246">
        <v>1</v>
      </c>
      <c r="H246">
        <v>20893631</v>
      </c>
      <c r="I246" t="s">
        <v>376</v>
      </c>
      <c r="J246">
        <v>0</v>
      </c>
      <c r="K246">
        <v>0</v>
      </c>
      <c r="L246">
        <v>0</v>
      </c>
      <c r="M246">
        <v>0</v>
      </c>
      <c r="N246">
        <v>0</v>
      </c>
      <c r="O246">
        <v>11</v>
      </c>
      <c r="P246">
        <v>0</v>
      </c>
      <c r="Q246">
        <v>0</v>
      </c>
      <c r="R246">
        <v>0</v>
      </c>
      <c r="S246">
        <v>0</v>
      </c>
      <c r="T246">
        <v>0</v>
      </c>
      <c r="U246">
        <v>0</v>
      </c>
      <c r="V246">
        <v>11</v>
      </c>
      <c r="W246" t="s">
        <v>492</v>
      </c>
      <c r="AK246" t="s">
        <v>832</v>
      </c>
    </row>
    <row r="247" spans="1:37" x14ac:dyDescent="0.25">
      <c r="A247" s="163">
        <v>46191</v>
      </c>
      <c r="B247" s="163">
        <v>46191</v>
      </c>
      <c r="C247">
        <v>3</v>
      </c>
      <c r="D247" t="s">
        <v>86</v>
      </c>
      <c r="E247">
        <v>31679</v>
      </c>
      <c r="G247">
        <v>1</v>
      </c>
      <c r="H247">
        <v>23260205</v>
      </c>
      <c r="I247" t="s">
        <v>956</v>
      </c>
      <c r="J247">
        <v>0</v>
      </c>
      <c r="K247">
        <v>0</v>
      </c>
      <c r="L247">
        <v>0</v>
      </c>
      <c r="M247">
        <v>0</v>
      </c>
      <c r="N247">
        <v>0</v>
      </c>
      <c r="O247">
        <v>54.9</v>
      </c>
      <c r="P247">
        <v>0</v>
      </c>
      <c r="Q247">
        <v>0</v>
      </c>
      <c r="R247">
        <v>0</v>
      </c>
      <c r="S247">
        <v>0</v>
      </c>
      <c r="T247">
        <v>0</v>
      </c>
      <c r="U247">
        <v>0</v>
      </c>
      <c r="V247">
        <v>54.9</v>
      </c>
      <c r="W247" t="s">
        <v>492</v>
      </c>
      <c r="AK247" t="s">
        <v>758</v>
      </c>
    </row>
    <row r="248" spans="1:37" x14ac:dyDescent="0.25">
      <c r="A248" s="163">
        <v>46177</v>
      </c>
      <c r="B248" s="163">
        <v>46177</v>
      </c>
      <c r="C248">
        <v>3</v>
      </c>
      <c r="D248" t="s">
        <v>86</v>
      </c>
      <c r="E248">
        <v>31482</v>
      </c>
      <c r="G248">
        <v>1</v>
      </c>
      <c r="H248">
        <v>20882581</v>
      </c>
      <c r="I248" t="s">
        <v>158</v>
      </c>
      <c r="J248">
        <v>0</v>
      </c>
      <c r="K248">
        <v>0</v>
      </c>
      <c r="L248">
        <v>0</v>
      </c>
      <c r="M248">
        <v>0</v>
      </c>
      <c r="N248">
        <v>0</v>
      </c>
      <c r="O248">
        <v>10</v>
      </c>
      <c r="P248">
        <v>0</v>
      </c>
      <c r="Q248">
        <v>0</v>
      </c>
      <c r="R248">
        <v>0</v>
      </c>
      <c r="S248">
        <v>0</v>
      </c>
      <c r="T248">
        <v>0</v>
      </c>
      <c r="U248">
        <v>0</v>
      </c>
      <c r="V248">
        <v>10</v>
      </c>
      <c r="W248" t="s">
        <v>492</v>
      </c>
      <c r="AK248" t="s">
        <v>564</v>
      </c>
    </row>
    <row r="249" spans="1:37" x14ac:dyDescent="0.25">
      <c r="A249" s="163">
        <v>46189</v>
      </c>
      <c r="B249" s="163">
        <v>46189</v>
      </c>
      <c r="C249">
        <v>3</v>
      </c>
      <c r="D249" t="s">
        <v>86</v>
      </c>
      <c r="E249">
        <v>31652</v>
      </c>
      <c r="G249">
        <v>1</v>
      </c>
      <c r="H249">
        <v>45120898</v>
      </c>
      <c r="I249" t="s">
        <v>301</v>
      </c>
      <c r="J249">
        <v>0</v>
      </c>
      <c r="K249">
        <v>0</v>
      </c>
      <c r="L249">
        <v>0</v>
      </c>
      <c r="M249">
        <v>0</v>
      </c>
      <c r="N249">
        <v>0</v>
      </c>
      <c r="O249">
        <v>5</v>
      </c>
      <c r="P249">
        <v>0</v>
      </c>
      <c r="Q249">
        <v>0</v>
      </c>
      <c r="R249">
        <v>0</v>
      </c>
      <c r="S249">
        <v>0</v>
      </c>
      <c r="T249">
        <v>0</v>
      </c>
      <c r="U249">
        <v>0</v>
      </c>
      <c r="V249">
        <v>5</v>
      </c>
      <c r="W249" t="s">
        <v>492</v>
      </c>
      <c r="AK249" t="s">
        <v>731</v>
      </c>
    </row>
    <row r="250" spans="1:37" x14ac:dyDescent="0.25">
      <c r="A250" s="163">
        <v>46197</v>
      </c>
      <c r="B250" s="163">
        <v>46197</v>
      </c>
      <c r="C250">
        <v>3</v>
      </c>
      <c r="D250" t="s">
        <v>86</v>
      </c>
      <c r="E250">
        <v>31767</v>
      </c>
      <c r="G250">
        <v>1</v>
      </c>
      <c r="H250">
        <v>19989225</v>
      </c>
      <c r="I250" t="s">
        <v>387</v>
      </c>
      <c r="J250">
        <v>0</v>
      </c>
      <c r="K250">
        <v>0</v>
      </c>
      <c r="L250">
        <v>0</v>
      </c>
      <c r="M250">
        <v>0</v>
      </c>
      <c r="N250">
        <v>0</v>
      </c>
      <c r="O250">
        <v>10</v>
      </c>
      <c r="P250">
        <v>0</v>
      </c>
      <c r="Q250">
        <v>0</v>
      </c>
      <c r="R250">
        <v>0</v>
      </c>
      <c r="S250">
        <v>0</v>
      </c>
      <c r="T250">
        <v>0</v>
      </c>
      <c r="U250">
        <v>0</v>
      </c>
      <c r="V250">
        <v>10</v>
      </c>
      <c r="W250" t="s">
        <v>492</v>
      </c>
      <c r="AK250" t="s">
        <v>847</v>
      </c>
    </row>
    <row r="251" spans="1:37" x14ac:dyDescent="0.25">
      <c r="A251" s="163">
        <v>46185</v>
      </c>
      <c r="B251" s="163">
        <v>46185</v>
      </c>
      <c r="C251">
        <v>3</v>
      </c>
      <c r="D251" t="s">
        <v>86</v>
      </c>
      <c r="E251">
        <v>31596</v>
      </c>
      <c r="G251">
        <v>1</v>
      </c>
      <c r="H251">
        <v>20899091</v>
      </c>
      <c r="I251" t="s">
        <v>258</v>
      </c>
      <c r="J251">
        <v>0</v>
      </c>
      <c r="K251">
        <v>0</v>
      </c>
      <c r="L251">
        <v>0</v>
      </c>
      <c r="M251">
        <v>0</v>
      </c>
      <c r="N251">
        <v>0</v>
      </c>
      <c r="O251">
        <v>14.5</v>
      </c>
      <c r="P251">
        <v>0</v>
      </c>
      <c r="Q251">
        <v>0</v>
      </c>
      <c r="R251">
        <v>0</v>
      </c>
      <c r="S251">
        <v>0</v>
      </c>
      <c r="T251">
        <v>0</v>
      </c>
      <c r="U251">
        <v>0</v>
      </c>
      <c r="V251">
        <v>14.5</v>
      </c>
      <c r="W251" t="s">
        <v>492</v>
      </c>
      <c r="AK251" t="s">
        <v>676</v>
      </c>
    </row>
    <row r="252" spans="1:37" x14ac:dyDescent="0.25">
      <c r="A252" s="163">
        <v>46197</v>
      </c>
      <c r="B252" s="163">
        <v>46197</v>
      </c>
      <c r="C252">
        <v>3</v>
      </c>
      <c r="D252" t="s">
        <v>86</v>
      </c>
      <c r="E252">
        <v>31756</v>
      </c>
      <c r="G252">
        <v>1</v>
      </c>
      <c r="H252">
        <v>20097756</v>
      </c>
      <c r="I252" t="s">
        <v>378</v>
      </c>
      <c r="J252">
        <v>0</v>
      </c>
      <c r="K252">
        <v>0</v>
      </c>
      <c r="L252">
        <v>0</v>
      </c>
      <c r="M252">
        <v>0</v>
      </c>
      <c r="N252">
        <v>0</v>
      </c>
      <c r="O252">
        <v>350</v>
      </c>
      <c r="P252">
        <v>0</v>
      </c>
      <c r="Q252">
        <v>0</v>
      </c>
      <c r="R252">
        <v>0</v>
      </c>
      <c r="S252">
        <v>0</v>
      </c>
      <c r="T252">
        <v>0</v>
      </c>
      <c r="U252">
        <v>0</v>
      </c>
      <c r="V252">
        <v>350</v>
      </c>
      <c r="W252" t="s">
        <v>492</v>
      </c>
      <c r="AK252" t="s">
        <v>836</v>
      </c>
    </row>
    <row r="253" spans="1:37" x14ac:dyDescent="0.25">
      <c r="A253" s="163">
        <v>46185</v>
      </c>
      <c r="B253" s="163">
        <v>46185</v>
      </c>
      <c r="C253">
        <v>3</v>
      </c>
      <c r="D253" t="s">
        <v>86</v>
      </c>
      <c r="E253">
        <v>31597</v>
      </c>
      <c r="G253">
        <v>1</v>
      </c>
      <c r="H253">
        <v>23686544</v>
      </c>
      <c r="I253" t="s">
        <v>259</v>
      </c>
      <c r="J253">
        <v>0</v>
      </c>
      <c r="K253">
        <v>0</v>
      </c>
      <c r="L253">
        <v>0</v>
      </c>
      <c r="M253">
        <v>0</v>
      </c>
      <c r="N253">
        <v>0</v>
      </c>
      <c r="O253">
        <v>42.5</v>
      </c>
      <c r="P253">
        <v>0</v>
      </c>
      <c r="Q253">
        <v>0</v>
      </c>
      <c r="R253">
        <v>0</v>
      </c>
      <c r="S253">
        <v>0</v>
      </c>
      <c r="T253">
        <v>0</v>
      </c>
      <c r="U253">
        <v>0</v>
      </c>
      <c r="V253">
        <v>42.5</v>
      </c>
      <c r="W253" t="s">
        <v>492</v>
      </c>
      <c r="AK253" t="s">
        <v>677</v>
      </c>
    </row>
    <row r="254" spans="1:37" x14ac:dyDescent="0.25">
      <c r="A254" s="163">
        <v>46198</v>
      </c>
      <c r="B254" s="163">
        <v>46198</v>
      </c>
      <c r="C254">
        <v>3</v>
      </c>
      <c r="D254" t="s">
        <v>86</v>
      </c>
      <c r="E254">
        <v>31787</v>
      </c>
      <c r="G254">
        <v>1</v>
      </c>
      <c r="H254">
        <v>60388514</v>
      </c>
      <c r="I254" t="s">
        <v>405</v>
      </c>
      <c r="J254">
        <v>0</v>
      </c>
      <c r="K254">
        <v>0</v>
      </c>
      <c r="L254">
        <v>0</v>
      </c>
      <c r="M254">
        <v>0</v>
      </c>
      <c r="N254">
        <v>0</v>
      </c>
      <c r="O254">
        <v>14.9</v>
      </c>
      <c r="P254">
        <v>0</v>
      </c>
      <c r="Q254">
        <v>0</v>
      </c>
      <c r="R254">
        <v>0</v>
      </c>
      <c r="S254">
        <v>0</v>
      </c>
      <c r="T254">
        <v>0</v>
      </c>
      <c r="U254">
        <v>0</v>
      </c>
      <c r="V254">
        <v>14.9</v>
      </c>
      <c r="W254" t="s">
        <v>492</v>
      </c>
      <c r="AK254" t="s">
        <v>867</v>
      </c>
    </row>
    <row r="255" spans="1:37" x14ac:dyDescent="0.25">
      <c r="A255" s="163">
        <v>46177</v>
      </c>
      <c r="B255" s="163">
        <v>46177</v>
      </c>
      <c r="C255">
        <v>3</v>
      </c>
      <c r="D255" t="s">
        <v>86</v>
      </c>
      <c r="E255">
        <v>31474</v>
      </c>
      <c r="G255">
        <v>1</v>
      </c>
      <c r="H255">
        <v>20434590</v>
      </c>
      <c r="I255" t="s">
        <v>153</v>
      </c>
      <c r="J255">
        <v>0</v>
      </c>
      <c r="K255">
        <v>0</v>
      </c>
      <c r="L255">
        <v>0</v>
      </c>
      <c r="M255">
        <v>0</v>
      </c>
      <c r="N255">
        <v>0</v>
      </c>
      <c r="O255">
        <v>20</v>
      </c>
      <c r="P255">
        <v>0</v>
      </c>
      <c r="Q255">
        <v>0</v>
      </c>
      <c r="R255">
        <v>0</v>
      </c>
      <c r="S255">
        <v>0</v>
      </c>
      <c r="T255">
        <v>0</v>
      </c>
      <c r="U255">
        <v>0</v>
      </c>
      <c r="V255">
        <v>20</v>
      </c>
      <c r="W255" t="s">
        <v>492</v>
      </c>
      <c r="AK255" t="s">
        <v>558</v>
      </c>
    </row>
    <row r="256" spans="1:37" x14ac:dyDescent="0.25">
      <c r="A256" s="163">
        <v>46181</v>
      </c>
      <c r="B256" s="163">
        <v>46181</v>
      </c>
      <c r="C256">
        <v>3</v>
      </c>
      <c r="D256" t="s">
        <v>86</v>
      </c>
      <c r="E256">
        <v>31537</v>
      </c>
      <c r="G256">
        <v>1</v>
      </c>
      <c r="H256">
        <v>20432489</v>
      </c>
      <c r="I256" t="s">
        <v>210</v>
      </c>
      <c r="J256">
        <v>0</v>
      </c>
      <c r="K256">
        <v>0</v>
      </c>
      <c r="L256">
        <v>0</v>
      </c>
      <c r="M256">
        <v>0</v>
      </c>
      <c r="N256">
        <v>0</v>
      </c>
      <c r="O256">
        <v>8.6999999999999993</v>
      </c>
      <c r="P256">
        <v>0</v>
      </c>
      <c r="Q256">
        <v>0</v>
      </c>
      <c r="R256">
        <v>0</v>
      </c>
      <c r="S256">
        <v>0</v>
      </c>
      <c r="T256">
        <v>0</v>
      </c>
      <c r="U256">
        <v>0</v>
      </c>
      <c r="V256">
        <v>8.6999999999999993</v>
      </c>
      <c r="W256" t="s">
        <v>492</v>
      </c>
      <c r="AK256" t="s">
        <v>619</v>
      </c>
    </row>
    <row r="257" spans="1:37" x14ac:dyDescent="0.25">
      <c r="A257" s="163">
        <v>46184</v>
      </c>
      <c r="B257" s="163">
        <v>46184</v>
      </c>
      <c r="C257">
        <v>3</v>
      </c>
      <c r="D257" t="s">
        <v>86</v>
      </c>
      <c r="E257">
        <v>31577</v>
      </c>
      <c r="G257">
        <v>1</v>
      </c>
      <c r="H257">
        <v>20079879</v>
      </c>
      <c r="I257" t="s">
        <v>244</v>
      </c>
      <c r="J257">
        <v>0</v>
      </c>
      <c r="K257">
        <v>0</v>
      </c>
      <c r="L257">
        <v>0</v>
      </c>
      <c r="M257">
        <v>0</v>
      </c>
      <c r="N257">
        <v>0</v>
      </c>
      <c r="O257">
        <v>5</v>
      </c>
      <c r="P257">
        <v>0</v>
      </c>
      <c r="Q257">
        <v>0</v>
      </c>
      <c r="R257">
        <v>0</v>
      </c>
      <c r="S257">
        <v>0</v>
      </c>
      <c r="T257">
        <v>0</v>
      </c>
      <c r="U257">
        <v>0</v>
      </c>
      <c r="V257">
        <v>5</v>
      </c>
      <c r="W257" t="s">
        <v>492</v>
      </c>
      <c r="AK257" t="s">
        <v>656</v>
      </c>
    </row>
    <row r="258" spans="1:37" x14ac:dyDescent="0.25">
      <c r="A258" s="163">
        <v>46203</v>
      </c>
      <c r="B258" s="163">
        <v>46203</v>
      </c>
      <c r="C258">
        <v>3</v>
      </c>
      <c r="D258" t="s">
        <v>86</v>
      </c>
      <c r="E258">
        <v>31834</v>
      </c>
      <c r="G258">
        <v>1</v>
      </c>
      <c r="H258">
        <v>20432500</v>
      </c>
      <c r="I258" t="s">
        <v>321</v>
      </c>
      <c r="J258">
        <v>0</v>
      </c>
      <c r="K258">
        <v>0</v>
      </c>
      <c r="L258">
        <v>0</v>
      </c>
      <c r="M258">
        <v>0</v>
      </c>
      <c r="N258">
        <v>0</v>
      </c>
      <c r="O258">
        <v>85</v>
      </c>
      <c r="P258">
        <v>0</v>
      </c>
      <c r="Q258">
        <v>0</v>
      </c>
      <c r="R258">
        <v>0</v>
      </c>
      <c r="S258">
        <v>0</v>
      </c>
      <c r="T258">
        <v>0</v>
      </c>
      <c r="U258">
        <v>0</v>
      </c>
      <c r="V258">
        <v>85</v>
      </c>
      <c r="W258" t="s">
        <v>492</v>
      </c>
      <c r="AK258" t="s">
        <v>913</v>
      </c>
    </row>
    <row r="259" spans="1:37" x14ac:dyDescent="0.25">
      <c r="A259" s="163">
        <v>46177</v>
      </c>
      <c r="B259" s="163">
        <v>46177</v>
      </c>
      <c r="C259">
        <v>3</v>
      </c>
      <c r="D259" t="s">
        <v>86</v>
      </c>
      <c r="E259">
        <v>31477</v>
      </c>
      <c r="G259">
        <v>1</v>
      </c>
      <c r="H259">
        <v>47968389</v>
      </c>
      <c r="I259" t="s">
        <v>108</v>
      </c>
      <c r="J259">
        <v>0</v>
      </c>
      <c r="K259">
        <v>0</v>
      </c>
      <c r="L259">
        <v>0</v>
      </c>
      <c r="M259">
        <v>0</v>
      </c>
      <c r="N259">
        <v>0</v>
      </c>
      <c r="O259">
        <v>10</v>
      </c>
      <c r="P259">
        <v>0</v>
      </c>
      <c r="Q259">
        <v>0</v>
      </c>
      <c r="R259">
        <v>0</v>
      </c>
      <c r="S259">
        <v>0</v>
      </c>
      <c r="T259">
        <v>0</v>
      </c>
      <c r="U259">
        <v>0</v>
      </c>
      <c r="V259">
        <v>10</v>
      </c>
      <c r="W259" t="s">
        <v>492</v>
      </c>
      <c r="AK259" t="s">
        <v>561</v>
      </c>
    </row>
    <row r="260" spans="1:37" x14ac:dyDescent="0.25">
      <c r="A260" s="163">
        <v>46178</v>
      </c>
      <c r="B260" s="163">
        <v>46178</v>
      </c>
      <c r="C260">
        <v>3</v>
      </c>
      <c r="D260" t="s">
        <v>86</v>
      </c>
      <c r="E260">
        <v>31490</v>
      </c>
      <c r="G260">
        <v>1</v>
      </c>
      <c r="H260">
        <v>41054120</v>
      </c>
      <c r="I260" t="s">
        <v>957</v>
      </c>
      <c r="J260">
        <v>0</v>
      </c>
      <c r="K260">
        <v>0</v>
      </c>
      <c r="L260">
        <v>0</v>
      </c>
      <c r="M260">
        <v>0</v>
      </c>
      <c r="N260">
        <v>0</v>
      </c>
      <c r="O260">
        <v>25</v>
      </c>
      <c r="P260">
        <v>0</v>
      </c>
      <c r="Q260">
        <v>0</v>
      </c>
      <c r="R260">
        <v>0</v>
      </c>
      <c r="S260">
        <v>0</v>
      </c>
      <c r="T260">
        <v>0</v>
      </c>
      <c r="U260">
        <v>0</v>
      </c>
      <c r="V260">
        <v>25</v>
      </c>
      <c r="W260" t="s">
        <v>492</v>
      </c>
      <c r="AK260" t="s">
        <v>574</v>
      </c>
    </row>
    <row r="261" spans="1:37" x14ac:dyDescent="0.25">
      <c r="A261" s="163">
        <v>46189</v>
      </c>
      <c r="B261" s="163">
        <v>46189</v>
      </c>
      <c r="C261">
        <v>3</v>
      </c>
      <c r="D261" t="s">
        <v>86</v>
      </c>
      <c r="E261">
        <v>31643</v>
      </c>
      <c r="G261">
        <v>1</v>
      </c>
      <c r="H261">
        <v>23227487</v>
      </c>
      <c r="I261" t="s">
        <v>293</v>
      </c>
      <c r="J261">
        <v>0</v>
      </c>
      <c r="K261">
        <v>0</v>
      </c>
      <c r="L261">
        <v>0</v>
      </c>
      <c r="M261">
        <v>0</v>
      </c>
      <c r="N261">
        <v>0</v>
      </c>
      <c r="O261">
        <v>30</v>
      </c>
      <c r="P261">
        <v>0</v>
      </c>
      <c r="Q261">
        <v>0</v>
      </c>
      <c r="R261">
        <v>0</v>
      </c>
      <c r="S261">
        <v>0</v>
      </c>
      <c r="T261">
        <v>0</v>
      </c>
      <c r="U261">
        <v>0</v>
      </c>
      <c r="V261">
        <v>30</v>
      </c>
      <c r="W261" t="s">
        <v>492</v>
      </c>
      <c r="AK261" t="s">
        <v>722</v>
      </c>
    </row>
    <row r="262" spans="1:37" x14ac:dyDescent="0.25">
      <c r="A262" s="163">
        <v>46191</v>
      </c>
      <c r="B262" s="163">
        <v>46191</v>
      </c>
      <c r="C262">
        <v>3</v>
      </c>
      <c r="D262" t="s">
        <v>86</v>
      </c>
      <c r="E262">
        <v>31680</v>
      </c>
      <c r="G262">
        <v>1</v>
      </c>
      <c r="H262">
        <v>75460795</v>
      </c>
      <c r="I262" t="s">
        <v>318</v>
      </c>
      <c r="J262">
        <v>0</v>
      </c>
      <c r="K262">
        <v>0</v>
      </c>
      <c r="L262">
        <v>0</v>
      </c>
      <c r="M262">
        <v>0</v>
      </c>
      <c r="N262">
        <v>0</v>
      </c>
      <c r="O262">
        <v>62.15</v>
      </c>
      <c r="P262">
        <v>0</v>
      </c>
      <c r="Q262">
        <v>0</v>
      </c>
      <c r="R262">
        <v>0</v>
      </c>
      <c r="S262">
        <v>0</v>
      </c>
      <c r="T262">
        <v>0</v>
      </c>
      <c r="U262">
        <v>0</v>
      </c>
      <c r="V262">
        <v>62.15</v>
      </c>
      <c r="W262" t="s">
        <v>492</v>
      </c>
      <c r="AK262" t="s">
        <v>759</v>
      </c>
    </row>
    <row r="263" spans="1:37" x14ac:dyDescent="0.25">
      <c r="A263" s="163">
        <v>46196</v>
      </c>
      <c r="B263" s="163">
        <v>46196</v>
      </c>
      <c r="C263">
        <v>3</v>
      </c>
      <c r="D263" t="s">
        <v>86</v>
      </c>
      <c r="E263">
        <v>31742</v>
      </c>
      <c r="G263">
        <v>1</v>
      </c>
      <c r="H263">
        <v>70020791</v>
      </c>
      <c r="I263" t="s">
        <v>366</v>
      </c>
      <c r="J263">
        <v>0</v>
      </c>
      <c r="K263">
        <v>0</v>
      </c>
      <c r="L263">
        <v>0</v>
      </c>
      <c r="M263">
        <v>0</v>
      </c>
      <c r="N263">
        <v>0</v>
      </c>
      <c r="O263">
        <v>14.7</v>
      </c>
      <c r="P263">
        <v>0</v>
      </c>
      <c r="Q263">
        <v>0</v>
      </c>
      <c r="R263">
        <v>0</v>
      </c>
      <c r="S263">
        <v>0</v>
      </c>
      <c r="T263">
        <v>0</v>
      </c>
      <c r="U263">
        <v>0</v>
      </c>
      <c r="V263">
        <v>14.7</v>
      </c>
      <c r="W263" t="s">
        <v>492</v>
      </c>
      <c r="AK263" t="s">
        <v>822</v>
      </c>
    </row>
    <row r="264" spans="1:37" x14ac:dyDescent="0.25">
      <c r="A264" s="163">
        <v>46178</v>
      </c>
      <c r="B264" s="163">
        <v>46178</v>
      </c>
      <c r="C264">
        <v>3</v>
      </c>
      <c r="D264" t="s">
        <v>86</v>
      </c>
      <c r="E264">
        <v>31486</v>
      </c>
      <c r="G264">
        <v>6</v>
      </c>
      <c r="H264">
        <v>20603590687</v>
      </c>
      <c r="I264" t="s">
        <v>137</v>
      </c>
      <c r="J264">
        <v>0</v>
      </c>
      <c r="K264">
        <v>0</v>
      </c>
      <c r="L264">
        <v>0</v>
      </c>
      <c r="M264">
        <v>0</v>
      </c>
      <c r="N264">
        <v>0</v>
      </c>
      <c r="O264">
        <v>100</v>
      </c>
      <c r="P264">
        <v>0</v>
      </c>
      <c r="Q264">
        <v>0</v>
      </c>
      <c r="R264">
        <v>0</v>
      </c>
      <c r="S264">
        <v>0</v>
      </c>
      <c r="T264">
        <v>0</v>
      </c>
      <c r="U264">
        <v>0</v>
      </c>
      <c r="V264">
        <v>100</v>
      </c>
      <c r="W264" t="s">
        <v>492</v>
      </c>
      <c r="AK264" t="s">
        <v>571</v>
      </c>
    </row>
    <row r="265" spans="1:37" x14ac:dyDescent="0.25">
      <c r="A265" s="163">
        <v>46203</v>
      </c>
      <c r="B265" s="163">
        <v>46203</v>
      </c>
      <c r="C265">
        <v>3</v>
      </c>
      <c r="D265" t="s">
        <v>86</v>
      </c>
      <c r="E265">
        <v>31836</v>
      </c>
      <c r="G265">
        <v>1</v>
      </c>
      <c r="H265">
        <v>20432500</v>
      </c>
      <c r="I265" t="s">
        <v>321</v>
      </c>
      <c r="J265">
        <v>0</v>
      </c>
      <c r="K265">
        <v>0</v>
      </c>
      <c r="L265">
        <v>0</v>
      </c>
      <c r="M265">
        <v>0</v>
      </c>
      <c r="N265">
        <v>0</v>
      </c>
      <c r="O265">
        <v>20</v>
      </c>
      <c r="P265">
        <v>0</v>
      </c>
      <c r="Q265">
        <v>0</v>
      </c>
      <c r="R265">
        <v>0</v>
      </c>
      <c r="S265">
        <v>0</v>
      </c>
      <c r="T265">
        <v>0</v>
      </c>
      <c r="U265">
        <v>0</v>
      </c>
      <c r="V265">
        <v>20</v>
      </c>
      <c r="W265" t="s">
        <v>492</v>
      </c>
      <c r="AK265" t="s">
        <v>915</v>
      </c>
    </row>
    <row r="266" spans="1:37" x14ac:dyDescent="0.25">
      <c r="A266" s="163">
        <v>46177</v>
      </c>
      <c r="B266" s="163">
        <v>46177</v>
      </c>
      <c r="C266">
        <v>3</v>
      </c>
      <c r="D266" t="s">
        <v>86</v>
      </c>
      <c r="E266">
        <v>31476</v>
      </c>
      <c r="G266">
        <v>1</v>
      </c>
      <c r="H266">
        <v>20649249</v>
      </c>
      <c r="I266" t="s">
        <v>155</v>
      </c>
      <c r="J266">
        <v>0</v>
      </c>
      <c r="K266">
        <v>0</v>
      </c>
      <c r="L266">
        <v>0</v>
      </c>
      <c r="M266">
        <v>0</v>
      </c>
      <c r="N266">
        <v>0</v>
      </c>
      <c r="O266">
        <v>50</v>
      </c>
      <c r="P266">
        <v>0</v>
      </c>
      <c r="Q266">
        <v>0</v>
      </c>
      <c r="R266">
        <v>0</v>
      </c>
      <c r="S266">
        <v>0</v>
      </c>
      <c r="T266">
        <v>0</v>
      </c>
      <c r="U266">
        <v>0</v>
      </c>
      <c r="V266">
        <v>50</v>
      </c>
      <c r="W266" t="s">
        <v>492</v>
      </c>
      <c r="AK266" t="s">
        <v>560</v>
      </c>
    </row>
    <row r="267" spans="1:37" x14ac:dyDescent="0.25">
      <c r="A267" s="163">
        <v>46196</v>
      </c>
      <c r="B267" s="163">
        <v>46196</v>
      </c>
      <c r="C267">
        <v>3</v>
      </c>
      <c r="D267" t="s">
        <v>86</v>
      </c>
      <c r="E267">
        <v>31737</v>
      </c>
      <c r="G267">
        <v>1</v>
      </c>
      <c r="H267">
        <v>20061838</v>
      </c>
      <c r="I267" t="s">
        <v>363</v>
      </c>
      <c r="J267">
        <v>0</v>
      </c>
      <c r="K267">
        <v>0</v>
      </c>
      <c r="L267">
        <v>0</v>
      </c>
      <c r="M267">
        <v>0</v>
      </c>
      <c r="N267">
        <v>0</v>
      </c>
      <c r="O267">
        <v>7.2</v>
      </c>
      <c r="P267">
        <v>0</v>
      </c>
      <c r="Q267">
        <v>0</v>
      </c>
      <c r="R267">
        <v>0</v>
      </c>
      <c r="S267">
        <v>0</v>
      </c>
      <c r="T267">
        <v>0</v>
      </c>
      <c r="U267">
        <v>0</v>
      </c>
      <c r="V267">
        <v>7.2</v>
      </c>
      <c r="W267" t="s">
        <v>492</v>
      </c>
      <c r="AK267" t="s">
        <v>817</v>
      </c>
    </row>
    <row r="268" spans="1:37" x14ac:dyDescent="0.25">
      <c r="A268" s="163">
        <v>46191</v>
      </c>
      <c r="B268" s="163">
        <v>46191</v>
      </c>
      <c r="C268">
        <v>3</v>
      </c>
      <c r="D268" t="s">
        <v>86</v>
      </c>
      <c r="E268">
        <v>31684</v>
      </c>
      <c r="G268">
        <v>1</v>
      </c>
      <c r="H268">
        <v>73772094</v>
      </c>
      <c r="I268" t="s">
        <v>322</v>
      </c>
      <c r="J268">
        <v>0</v>
      </c>
      <c r="K268">
        <v>0</v>
      </c>
      <c r="L268">
        <v>0</v>
      </c>
      <c r="M268">
        <v>0</v>
      </c>
      <c r="N268">
        <v>0</v>
      </c>
      <c r="O268">
        <v>250</v>
      </c>
      <c r="P268">
        <v>0</v>
      </c>
      <c r="Q268">
        <v>0</v>
      </c>
      <c r="R268">
        <v>0</v>
      </c>
      <c r="S268">
        <v>0</v>
      </c>
      <c r="T268">
        <v>0</v>
      </c>
      <c r="U268">
        <v>0</v>
      </c>
      <c r="V268">
        <v>250</v>
      </c>
      <c r="W268" t="s">
        <v>492</v>
      </c>
      <c r="AK268" t="s">
        <v>763</v>
      </c>
    </row>
    <row r="269" spans="1:37" x14ac:dyDescent="0.25">
      <c r="A269" s="163">
        <v>46181</v>
      </c>
      <c r="B269" s="163">
        <v>46181</v>
      </c>
      <c r="C269">
        <v>3</v>
      </c>
      <c r="D269" t="s">
        <v>86</v>
      </c>
      <c r="E269">
        <v>31526</v>
      </c>
      <c r="G269">
        <v>1</v>
      </c>
      <c r="H269">
        <v>20109803</v>
      </c>
      <c r="I269" t="s">
        <v>120</v>
      </c>
      <c r="J269">
        <v>0</v>
      </c>
      <c r="K269">
        <v>0</v>
      </c>
      <c r="L269">
        <v>0</v>
      </c>
      <c r="M269">
        <v>0</v>
      </c>
      <c r="N269">
        <v>0</v>
      </c>
      <c r="O269">
        <v>30</v>
      </c>
      <c r="P269">
        <v>0</v>
      </c>
      <c r="Q269">
        <v>0</v>
      </c>
      <c r="R269">
        <v>0</v>
      </c>
      <c r="S269">
        <v>0</v>
      </c>
      <c r="T269">
        <v>0</v>
      </c>
      <c r="U269">
        <v>0</v>
      </c>
      <c r="V269">
        <v>30</v>
      </c>
      <c r="W269" t="s">
        <v>492</v>
      </c>
      <c r="AK269" t="s">
        <v>608</v>
      </c>
    </row>
    <row r="270" spans="1:37" x14ac:dyDescent="0.25">
      <c r="A270" s="163">
        <v>46203</v>
      </c>
      <c r="B270" s="163">
        <v>46203</v>
      </c>
      <c r="C270">
        <v>3</v>
      </c>
      <c r="D270" t="s">
        <v>86</v>
      </c>
      <c r="E270">
        <v>31833</v>
      </c>
      <c r="G270">
        <v>1</v>
      </c>
      <c r="H270">
        <v>43655116</v>
      </c>
      <c r="I270" t="s">
        <v>444</v>
      </c>
      <c r="J270">
        <v>0</v>
      </c>
      <c r="K270">
        <v>0</v>
      </c>
      <c r="L270">
        <v>0</v>
      </c>
      <c r="M270">
        <v>0</v>
      </c>
      <c r="N270">
        <v>0</v>
      </c>
      <c r="O270">
        <v>13</v>
      </c>
      <c r="P270">
        <v>0</v>
      </c>
      <c r="Q270">
        <v>0</v>
      </c>
      <c r="R270">
        <v>0</v>
      </c>
      <c r="S270">
        <v>0</v>
      </c>
      <c r="T270">
        <v>0</v>
      </c>
      <c r="U270">
        <v>0</v>
      </c>
      <c r="V270">
        <v>13</v>
      </c>
      <c r="W270" t="s">
        <v>492</v>
      </c>
      <c r="AK270" t="s">
        <v>912</v>
      </c>
    </row>
    <row r="271" spans="1:37" x14ac:dyDescent="0.25">
      <c r="A271" s="163">
        <v>46189</v>
      </c>
      <c r="B271" s="163">
        <v>46189</v>
      </c>
      <c r="C271">
        <v>3</v>
      </c>
      <c r="D271" t="s">
        <v>86</v>
      </c>
      <c r="E271">
        <v>31641</v>
      </c>
      <c r="G271">
        <v>1</v>
      </c>
      <c r="H271">
        <v>33819793</v>
      </c>
      <c r="I271" t="s">
        <v>291</v>
      </c>
      <c r="J271">
        <v>0</v>
      </c>
      <c r="K271">
        <v>0</v>
      </c>
      <c r="L271">
        <v>0</v>
      </c>
      <c r="M271">
        <v>0</v>
      </c>
      <c r="N271">
        <v>0</v>
      </c>
      <c r="O271">
        <v>46.7</v>
      </c>
      <c r="P271">
        <v>0</v>
      </c>
      <c r="Q271">
        <v>0</v>
      </c>
      <c r="R271">
        <v>0</v>
      </c>
      <c r="S271">
        <v>0</v>
      </c>
      <c r="T271">
        <v>0</v>
      </c>
      <c r="U271">
        <v>0</v>
      </c>
      <c r="V271">
        <v>46.7</v>
      </c>
      <c r="W271" t="s">
        <v>492</v>
      </c>
      <c r="AK271" t="s">
        <v>720</v>
      </c>
    </row>
    <row r="272" spans="1:37" x14ac:dyDescent="0.25">
      <c r="A272" s="163">
        <v>46189</v>
      </c>
      <c r="B272" s="163">
        <v>46189</v>
      </c>
      <c r="C272">
        <v>3</v>
      </c>
      <c r="D272" t="s">
        <v>86</v>
      </c>
      <c r="E272">
        <v>31639</v>
      </c>
      <c r="G272">
        <v>1</v>
      </c>
      <c r="H272">
        <v>20644038</v>
      </c>
      <c r="I272" t="s">
        <v>289</v>
      </c>
      <c r="J272">
        <v>0</v>
      </c>
      <c r="K272">
        <v>0</v>
      </c>
      <c r="L272">
        <v>0</v>
      </c>
      <c r="M272">
        <v>0</v>
      </c>
      <c r="N272">
        <v>0</v>
      </c>
      <c r="O272">
        <v>20</v>
      </c>
      <c r="P272">
        <v>0</v>
      </c>
      <c r="Q272">
        <v>0</v>
      </c>
      <c r="R272">
        <v>0</v>
      </c>
      <c r="S272">
        <v>0</v>
      </c>
      <c r="T272">
        <v>0</v>
      </c>
      <c r="U272">
        <v>0</v>
      </c>
      <c r="V272">
        <v>20</v>
      </c>
      <c r="W272" t="s">
        <v>492</v>
      </c>
      <c r="AK272" t="s">
        <v>718</v>
      </c>
    </row>
    <row r="273" spans="1:37" x14ac:dyDescent="0.25">
      <c r="A273" s="163">
        <v>46192</v>
      </c>
      <c r="B273" s="163">
        <v>46192</v>
      </c>
      <c r="C273">
        <v>3</v>
      </c>
      <c r="D273" t="s">
        <v>86</v>
      </c>
      <c r="E273">
        <v>31692</v>
      </c>
      <c r="G273">
        <v>1</v>
      </c>
      <c r="H273">
        <v>71780987</v>
      </c>
      <c r="I273" t="s">
        <v>329</v>
      </c>
      <c r="J273">
        <v>0</v>
      </c>
      <c r="K273">
        <v>0</v>
      </c>
      <c r="L273">
        <v>0</v>
      </c>
      <c r="M273">
        <v>0</v>
      </c>
      <c r="N273">
        <v>0</v>
      </c>
      <c r="O273">
        <v>25</v>
      </c>
      <c r="P273">
        <v>0</v>
      </c>
      <c r="Q273">
        <v>0</v>
      </c>
      <c r="R273">
        <v>0</v>
      </c>
      <c r="S273">
        <v>0</v>
      </c>
      <c r="T273">
        <v>0</v>
      </c>
      <c r="U273">
        <v>0</v>
      </c>
      <c r="V273">
        <v>25</v>
      </c>
      <c r="W273" t="s">
        <v>492</v>
      </c>
      <c r="AK273" t="s">
        <v>771</v>
      </c>
    </row>
    <row r="274" spans="1:37" x14ac:dyDescent="0.25">
      <c r="A274" s="163">
        <v>46199</v>
      </c>
      <c r="B274" s="163">
        <v>46199</v>
      </c>
      <c r="C274">
        <v>3</v>
      </c>
      <c r="D274" t="s">
        <v>86</v>
      </c>
      <c r="E274">
        <v>31788</v>
      </c>
      <c r="G274">
        <v>6</v>
      </c>
      <c r="H274">
        <v>20600803647</v>
      </c>
      <c r="I274" t="s">
        <v>406</v>
      </c>
      <c r="J274">
        <v>0</v>
      </c>
      <c r="K274">
        <v>0</v>
      </c>
      <c r="L274">
        <v>0</v>
      </c>
      <c r="M274">
        <v>0</v>
      </c>
      <c r="N274">
        <v>0</v>
      </c>
      <c r="O274">
        <v>25</v>
      </c>
      <c r="P274">
        <v>0</v>
      </c>
      <c r="Q274">
        <v>0</v>
      </c>
      <c r="R274">
        <v>0</v>
      </c>
      <c r="S274">
        <v>0</v>
      </c>
      <c r="T274">
        <v>0</v>
      </c>
      <c r="U274">
        <v>0</v>
      </c>
      <c r="V274">
        <v>25</v>
      </c>
      <c r="W274" t="s">
        <v>492</v>
      </c>
      <c r="AK274" t="s">
        <v>868</v>
      </c>
    </row>
    <row r="275" spans="1:37" x14ac:dyDescent="0.25">
      <c r="A275" s="163">
        <v>46178</v>
      </c>
      <c r="B275" s="163">
        <v>46178</v>
      </c>
      <c r="C275">
        <v>3</v>
      </c>
      <c r="D275" t="s">
        <v>86</v>
      </c>
      <c r="E275">
        <v>31489</v>
      </c>
      <c r="G275">
        <v>1</v>
      </c>
      <c r="H275">
        <v>44833285</v>
      </c>
      <c r="I275" t="s">
        <v>165</v>
      </c>
      <c r="J275">
        <v>0</v>
      </c>
      <c r="K275">
        <v>0</v>
      </c>
      <c r="L275">
        <v>0</v>
      </c>
      <c r="M275">
        <v>0</v>
      </c>
      <c r="N275">
        <v>0</v>
      </c>
      <c r="O275">
        <v>35</v>
      </c>
      <c r="P275">
        <v>0</v>
      </c>
      <c r="Q275">
        <v>0</v>
      </c>
      <c r="R275">
        <v>0</v>
      </c>
      <c r="S275">
        <v>0</v>
      </c>
      <c r="T275">
        <v>0</v>
      </c>
      <c r="U275">
        <v>0</v>
      </c>
      <c r="V275">
        <v>35</v>
      </c>
      <c r="W275" t="s">
        <v>492</v>
      </c>
      <c r="AK275" t="s">
        <v>573</v>
      </c>
    </row>
    <row r="276" spans="1:37" x14ac:dyDescent="0.25">
      <c r="A276" s="163">
        <v>46195</v>
      </c>
      <c r="B276" s="163">
        <v>46195</v>
      </c>
      <c r="C276">
        <v>3</v>
      </c>
      <c r="D276" t="s">
        <v>86</v>
      </c>
      <c r="E276">
        <v>31715</v>
      </c>
      <c r="G276">
        <v>1</v>
      </c>
      <c r="H276">
        <v>46798728</v>
      </c>
      <c r="I276" t="s">
        <v>347</v>
      </c>
      <c r="J276">
        <v>0</v>
      </c>
      <c r="K276">
        <v>0</v>
      </c>
      <c r="L276">
        <v>0</v>
      </c>
      <c r="M276">
        <v>0</v>
      </c>
      <c r="N276">
        <v>0</v>
      </c>
      <c r="O276">
        <v>10</v>
      </c>
      <c r="P276">
        <v>0</v>
      </c>
      <c r="Q276">
        <v>0</v>
      </c>
      <c r="R276">
        <v>0</v>
      </c>
      <c r="S276">
        <v>0</v>
      </c>
      <c r="T276">
        <v>0</v>
      </c>
      <c r="U276">
        <v>0</v>
      </c>
      <c r="V276">
        <v>10</v>
      </c>
      <c r="W276" t="s">
        <v>492</v>
      </c>
      <c r="AK276" t="s">
        <v>794</v>
      </c>
    </row>
    <row r="277" spans="1:37" x14ac:dyDescent="0.25">
      <c r="A277" s="163">
        <v>46190</v>
      </c>
      <c r="B277" s="163">
        <v>46190</v>
      </c>
      <c r="C277">
        <v>3</v>
      </c>
      <c r="D277" t="s">
        <v>86</v>
      </c>
      <c r="E277">
        <v>31657</v>
      </c>
      <c r="G277">
        <v>1</v>
      </c>
      <c r="H277">
        <v>20070172</v>
      </c>
      <c r="I277" t="s">
        <v>303</v>
      </c>
      <c r="J277">
        <v>0</v>
      </c>
      <c r="K277">
        <v>0</v>
      </c>
      <c r="L277">
        <v>0</v>
      </c>
      <c r="M277">
        <v>0</v>
      </c>
      <c r="N277">
        <v>0</v>
      </c>
      <c r="O277">
        <v>162</v>
      </c>
      <c r="P277">
        <v>0</v>
      </c>
      <c r="Q277">
        <v>0</v>
      </c>
      <c r="R277">
        <v>0</v>
      </c>
      <c r="S277">
        <v>0</v>
      </c>
      <c r="T277">
        <v>0</v>
      </c>
      <c r="U277">
        <v>0</v>
      </c>
      <c r="V277">
        <v>162</v>
      </c>
      <c r="W277" t="s">
        <v>492</v>
      </c>
      <c r="AK277" t="s">
        <v>735</v>
      </c>
    </row>
    <row r="278" spans="1:37" x14ac:dyDescent="0.25">
      <c r="A278" s="163">
        <v>46177</v>
      </c>
      <c r="B278" s="163">
        <v>46177</v>
      </c>
      <c r="C278">
        <v>3</v>
      </c>
      <c r="D278" t="s">
        <v>86</v>
      </c>
      <c r="E278">
        <v>31479</v>
      </c>
      <c r="G278">
        <v>1</v>
      </c>
      <c r="H278">
        <v>70525107</v>
      </c>
      <c r="I278" t="s">
        <v>162</v>
      </c>
      <c r="J278">
        <v>0</v>
      </c>
      <c r="K278">
        <v>0</v>
      </c>
      <c r="L278">
        <v>0</v>
      </c>
      <c r="M278">
        <v>0</v>
      </c>
      <c r="N278">
        <v>0</v>
      </c>
      <c r="O278">
        <v>12.5</v>
      </c>
      <c r="P278">
        <v>0</v>
      </c>
      <c r="Q278">
        <v>0</v>
      </c>
      <c r="R278">
        <v>0</v>
      </c>
      <c r="S278">
        <v>0</v>
      </c>
      <c r="T278">
        <v>0</v>
      </c>
      <c r="U278">
        <v>0</v>
      </c>
      <c r="V278">
        <v>12.5</v>
      </c>
      <c r="W278" t="s">
        <v>492</v>
      </c>
      <c r="AK278" t="s">
        <v>568</v>
      </c>
    </row>
    <row r="279" spans="1:37" x14ac:dyDescent="0.25">
      <c r="A279" s="163">
        <v>46197</v>
      </c>
      <c r="B279" s="163">
        <v>46197</v>
      </c>
      <c r="C279">
        <v>3</v>
      </c>
      <c r="D279" t="s">
        <v>86</v>
      </c>
      <c r="E279">
        <v>31760</v>
      </c>
      <c r="G279">
        <v>1</v>
      </c>
      <c r="H279">
        <v>70201616</v>
      </c>
      <c r="I279" t="s">
        <v>382</v>
      </c>
      <c r="J279">
        <v>0</v>
      </c>
      <c r="K279">
        <v>0</v>
      </c>
      <c r="L279">
        <v>0</v>
      </c>
      <c r="M279">
        <v>0</v>
      </c>
      <c r="N279">
        <v>0</v>
      </c>
      <c r="O279">
        <v>12.5</v>
      </c>
      <c r="P279">
        <v>0</v>
      </c>
      <c r="Q279">
        <v>0</v>
      </c>
      <c r="R279">
        <v>0</v>
      </c>
      <c r="S279">
        <v>0</v>
      </c>
      <c r="T279">
        <v>0</v>
      </c>
      <c r="U279">
        <v>0</v>
      </c>
      <c r="V279">
        <v>12.5</v>
      </c>
      <c r="W279" t="s">
        <v>492</v>
      </c>
      <c r="AK279" t="s">
        <v>841</v>
      </c>
    </row>
    <row r="280" spans="1:37" x14ac:dyDescent="0.25">
      <c r="A280" s="163">
        <v>46190</v>
      </c>
      <c r="B280" s="163">
        <v>46190</v>
      </c>
      <c r="C280">
        <v>3</v>
      </c>
      <c r="D280" t="s">
        <v>86</v>
      </c>
      <c r="E280">
        <v>31656</v>
      </c>
      <c r="G280">
        <v>1</v>
      </c>
      <c r="H280">
        <v>20070172</v>
      </c>
      <c r="I280" t="s">
        <v>303</v>
      </c>
      <c r="J280">
        <v>0</v>
      </c>
      <c r="K280">
        <v>0</v>
      </c>
      <c r="L280">
        <v>0</v>
      </c>
      <c r="M280">
        <v>0</v>
      </c>
      <c r="N280">
        <v>0</v>
      </c>
      <c r="O280">
        <v>243</v>
      </c>
      <c r="P280">
        <v>0</v>
      </c>
      <c r="Q280">
        <v>0</v>
      </c>
      <c r="R280">
        <v>0</v>
      </c>
      <c r="S280">
        <v>0</v>
      </c>
      <c r="T280">
        <v>0</v>
      </c>
      <c r="U280">
        <v>0</v>
      </c>
      <c r="V280">
        <v>243</v>
      </c>
      <c r="W280" t="s">
        <v>492</v>
      </c>
      <c r="AK280" t="s">
        <v>734</v>
      </c>
    </row>
    <row r="281" spans="1:37" x14ac:dyDescent="0.25">
      <c r="A281" s="163">
        <v>46185</v>
      </c>
      <c r="B281" s="163">
        <v>46185</v>
      </c>
      <c r="C281">
        <v>3</v>
      </c>
      <c r="D281" t="s">
        <v>86</v>
      </c>
      <c r="E281">
        <v>31593</v>
      </c>
      <c r="G281">
        <v>1</v>
      </c>
      <c r="H281">
        <v>74458596</v>
      </c>
      <c r="I281" t="s">
        <v>255</v>
      </c>
      <c r="J281">
        <v>0</v>
      </c>
      <c r="K281">
        <v>0</v>
      </c>
      <c r="L281">
        <v>0</v>
      </c>
      <c r="M281">
        <v>0</v>
      </c>
      <c r="N281">
        <v>0</v>
      </c>
      <c r="O281">
        <v>58.7</v>
      </c>
      <c r="P281">
        <v>0</v>
      </c>
      <c r="Q281">
        <v>0</v>
      </c>
      <c r="R281">
        <v>0</v>
      </c>
      <c r="S281">
        <v>0</v>
      </c>
      <c r="T281">
        <v>0</v>
      </c>
      <c r="U281">
        <v>0</v>
      </c>
      <c r="V281">
        <v>58.7</v>
      </c>
      <c r="W281" t="s">
        <v>492</v>
      </c>
      <c r="AK281" t="s">
        <v>673</v>
      </c>
    </row>
    <row r="282" spans="1:37" x14ac:dyDescent="0.25">
      <c r="A282" s="163">
        <v>46198</v>
      </c>
      <c r="B282" s="163">
        <v>46198</v>
      </c>
      <c r="C282">
        <v>3</v>
      </c>
      <c r="D282" t="s">
        <v>86</v>
      </c>
      <c r="E282">
        <v>31786</v>
      </c>
      <c r="G282">
        <v>1</v>
      </c>
      <c r="H282">
        <v>21284036</v>
      </c>
      <c r="I282" t="s">
        <v>958</v>
      </c>
      <c r="J282">
        <v>0</v>
      </c>
      <c r="K282">
        <v>0</v>
      </c>
      <c r="L282">
        <v>0</v>
      </c>
      <c r="M282">
        <v>0</v>
      </c>
      <c r="N282">
        <v>0</v>
      </c>
      <c r="O282">
        <v>25</v>
      </c>
      <c r="P282">
        <v>0</v>
      </c>
      <c r="Q282">
        <v>0</v>
      </c>
      <c r="R282">
        <v>0</v>
      </c>
      <c r="S282">
        <v>0</v>
      </c>
      <c r="T282">
        <v>0</v>
      </c>
      <c r="U282">
        <v>0</v>
      </c>
      <c r="V282">
        <v>25</v>
      </c>
      <c r="W282" t="s">
        <v>492</v>
      </c>
      <c r="AK282" t="s">
        <v>866</v>
      </c>
    </row>
    <row r="283" spans="1:37" x14ac:dyDescent="0.25">
      <c r="A283" s="163">
        <v>46178</v>
      </c>
      <c r="B283" s="163">
        <v>46178</v>
      </c>
      <c r="C283">
        <v>3</v>
      </c>
      <c r="D283" t="s">
        <v>86</v>
      </c>
      <c r="E283">
        <v>31493</v>
      </c>
      <c r="G283">
        <v>1</v>
      </c>
      <c r="H283">
        <v>19929072</v>
      </c>
      <c r="I283" t="s">
        <v>940</v>
      </c>
      <c r="J283">
        <v>0</v>
      </c>
      <c r="K283">
        <v>0</v>
      </c>
      <c r="L283">
        <v>0</v>
      </c>
      <c r="M283">
        <v>0</v>
      </c>
      <c r="N283">
        <v>0</v>
      </c>
      <c r="O283">
        <v>14.6</v>
      </c>
      <c r="P283">
        <v>0</v>
      </c>
      <c r="Q283">
        <v>0</v>
      </c>
      <c r="R283">
        <v>0</v>
      </c>
      <c r="S283">
        <v>0</v>
      </c>
      <c r="T283">
        <v>0</v>
      </c>
      <c r="U283">
        <v>0</v>
      </c>
      <c r="V283">
        <v>14.6</v>
      </c>
      <c r="W283" t="s">
        <v>492</v>
      </c>
      <c r="AK283" t="s">
        <v>577</v>
      </c>
    </row>
    <row r="284" spans="1:37" x14ac:dyDescent="0.25">
      <c r="A284" s="163">
        <v>46197</v>
      </c>
      <c r="B284" s="163">
        <v>46197</v>
      </c>
      <c r="C284">
        <v>3</v>
      </c>
      <c r="D284" t="s">
        <v>86</v>
      </c>
      <c r="E284">
        <v>31770</v>
      </c>
      <c r="G284">
        <v>1</v>
      </c>
      <c r="H284">
        <v>45584932</v>
      </c>
      <c r="I284" t="s">
        <v>390</v>
      </c>
      <c r="J284">
        <v>0</v>
      </c>
      <c r="K284">
        <v>0</v>
      </c>
      <c r="L284">
        <v>0</v>
      </c>
      <c r="M284">
        <v>0</v>
      </c>
      <c r="N284">
        <v>0</v>
      </c>
      <c r="O284">
        <v>26.9</v>
      </c>
      <c r="P284">
        <v>0</v>
      </c>
      <c r="Q284">
        <v>0</v>
      </c>
      <c r="R284">
        <v>0</v>
      </c>
      <c r="S284">
        <v>0</v>
      </c>
      <c r="T284">
        <v>0</v>
      </c>
      <c r="U284">
        <v>0</v>
      </c>
      <c r="V284">
        <v>26.9</v>
      </c>
      <c r="W284" t="s">
        <v>492</v>
      </c>
      <c r="AK284" t="s">
        <v>850</v>
      </c>
    </row>
    <row r="285" spans="1:37" x14ac:dyDescent="0.25">
      <c r="A285" s="163">
        <v>46192</v>
      </c>
      <c r="B285" s="163">
        <v>46192</v>
      </c>
      <c r="C285">
        <v>3</v>
      </c>
      <c r="D285" t="s">
        <v>86</v>
      </c>
      <c r="E285">
        <v>31691</v>
      </c>
      <c r="G285">
        <v>1</v>
      </c>
      <c r="H285">
        <v>72423180</v>
      </c>
      <c r="I285" t="s">
        <v>328</v>
      </c>
      <c r="J285">
        <v>0</v>
      </c>
      <c r="K285">
        <v>0</v>
      </c>
      <c r="L285">
        <v>0</v>
      </c>
      <c r="M285">
        <v>0</v>
      </c>
      <c r="N285">
        <v>0</v>
      </c>
      <c r="O285">
        <v>193</v>
      </c>
      <c r="P285">
        <v>0</v>
      </c>
      <c r="Q285">
        <v>0</v>
      </c>
      <c r="R285">
        <v>0</v>
      </c>
      <c r="S285">
        <v>0</v>
      </c>
      <c r="T285">
        <v>0</v>
      </c>
      <c r="U285">
        <v>0</v>
      </c>
      <c r="V285">
        <v>193</v>
      </c>
      <c r="W285" t="s">
        <v>492</v>
      </c>
      <c r="AK285" t="s">
        <v>770</v>
      </c>
    </row>
    <row r="286" spans="1:37" x14ac:dyDescent="0.25">
      <c r="A286" s="163">
        <v>46181</v>
      </c>
      <c r="B286" s="163">
        <v>46181</v>
      </c>
      <c r="C286">
        <v>3</v>
      </c>
      <c r="D286" t="s">
        <v>86</v>
      </c>
      <c r="E286">
        <v>31541</v>
      </c>
      <c r="G286">
        <v>1</v>
      </c>
      <c r="H286">
        <v>43528533</v>
      </c>
      <c r="I286" t="s">
        <v>214</v>
      </c>
      <c r="J286">
        <v>0</v>
      </c>
      <c r="K286">
        <v>0</v>
      </c>
      <c r="L286">
        <v>0</v>
      </c>
      <c r="M286">
        <v>0</v>
      </c>
      <c r="N286">
        <v>0</v>
      </c>
      <c r="O286">
        <v>25</v>
      </c>
      <c r="P286">
        <v>0</v>
      </c>
      <c r="Q286">
        <v>0</v>
      </c>
      <c r="R286">
        <v>0</v>
      </c>
      <c r="S286">
        <v>0</v>
      </c>
      <c r="T286">
        <v>0</v>
      </c>
      <c r="U286">
        <v>0</v>
      </c>
      <c r="V286">
        <v>25</v>
      </c>
      <c r="W286" t="s">
        <v>492</v>
      </c>
      <c r="AK286" t="s">
        <v>623</v>
      </c>
    </row>
    <row r="287" spans="1:37" x14ac:dyDescent="0.25">
      <c r="A287" s="163">
        <v>46183</v>
      </c>
      <c r="B287" s="163">
        <v>46183</v>
      </c>
      <c r="C287">
        <v>3</v>
      </c>
      <c r="D287" t="s">
        <v>86</v>
      </c>
      <c r="E287">
        <v>31557</v>
      </c>
      <c r="G287">
        <v>6</v>
      </c>
      <c r="H287">
        <v>20612763942</v>
      </c>
      <c r="I287" t="s">
        <v>227</v>
      </c>
      <c r="J287">
        <v>0</v>
      </c>
      <c r="K287">
        <v>0</v>
      </c>
      <c r="L287">
        <v>0</v>
      </c>
      <c r="M287">
        <v>0</v>
      </c>
      <c r="N287">
        <v>0</v>
      </c>
      <c r="O287">
        <v>20.5</v>
      </c>
      <c r="P287">
        <v>0</v>
      </c>
      <c r="Q287">
        <v>0</v>
      </c>
      <c r="R287">
        <v>0</v>
      </c>
      <c r="S287">
        <v>0</v>
      </c>
      <c r="T287">
        <v>0</v>
      </c>
      <c r="U287">
        <v>0</v>
      </c>
      <c r="V287">
        <v>20.5</v>
      </c>
      <c r="W287" t="s">
        <v>492</v>
      </c>
      <c r="AK287" t="s">
        <v>638</v>
      </c>
    </row>
    <row r="288" spans="1:37" x14ac:dyDescent="0.25">
      <c r="A288" s="163">
        <v>46182</v>
      </c>
      <c r="B288" s="163">
        <v>46182</v>
      </c>
      <c r="C288">
        <v>3</v>
      </c>
      <c r="D288" t="s">
        <v>86</v>
      </c>
      <c r="E288">
        <v>31552</v>
      </c>
      <c r="G288">
        <v>1</v>
      </c>
      <c r="H288">
        <v>45151511</v>
      </c>
      <c r="I288" t="s">
        <v>223</v>
      </c>
      <c r="J288">
        <v>0</v>
      </c>
      <c r="K288">
        <v>0</v>
      </c>
      <c r="L288">
        <v>0</v>
      </c>
      <c r="M288">
        <v>0</v>
      </c>
      <c r="N288">
        <v>0</v>
      </c>
      <c r="O288">
        <v>7.3</v>
      </c>
      <c r="P288">
        <v>0</v>
      </c>
      <c r="Q288">
        <v>0</v>
      </c>
      <c r="R288">
        <v>0</v>
      </c>
      <c r="S288">
        <v>0</v>
      </c>
      <c r="T288">
        <v>0</v>
      </c>
      <c r="U288">
        <v>0</v>
      </c>
      <c r="V288">
        <v>7.3</v>
      </c>
      <c r="W288" t="s">
        <v>492</v>
      </c>
      <c r="AK288" t="s">
        <v>634</v>
      </c>
    </row>
    <row r="289" spans="1:37" x14ac:dyDescent="0.25">
      <c r="A289" s="163">
        <v>46192</v>
      </c>
      <c r="B289" s="163">
        <v>46192</v>
      </c>
      <c r="C289">
        <v>3</v>
      </c>
      <c r="D289" t="s">
        <v>86</v>
      </c>
      <c r="E289">
        <v>31694</v>
      </c>
      <c r="G289">
        <v>1</v>
      </c>
      <c r="H289">
        <v>44527371</v>
      </c>
      <c r="I289" t="s">
        <v>331</v>
      </c>
      <c r="J289">
        <v>0</v>
      </c>
      <c r="K289">
        <v>0</v>
      </c>
      <c r="L289">
        <v>0</v>
      </c>
      <c r="M289">
        <v>0</v>
      </c>
      <c r="N289">
        <v>0</v>
      </c>
      <c r="O289">
        <v>78</v>
      </c>
      <c r="P289">
        <v>0</v>
      </c>
      <c r="Q289">
        <v>0</v>
      </c>
      <c r="R289">
        <v>0</v>
      </c>
      <c r="S289">
        <v>0</v>
      </c>
      <c r="T289">
        <v>0</v>
      </c>
      <c r="U289">
        <v>0</v>
      </c>
      <c r="V289">
        <v>78</v>
      </c>
      <c r="W289" t="s">
        <v>492</v>
      </c>
      <c r="AK289" t="s">
        <v>773</v>
      </c>
    </row>
    <row r="290" spans="1:37" x14ac:dyDescent="0.25">
      <c r="A290" s="163">
        <v>46178</v>
      </c>
      <c r="B290" s="163">
        <v>46178</v>
      </c>
      <c r="C290">
        <v>3</v>
      </c>
      <c r="D290" t="s">
        <v>86</v>
      </c>
      <c r="E290">
        <v>31494</v>
      </c>
      <c r="G290">
        <v>1</v>
      </c>
      <c r="H290">
        <v>62437139</v>
      </c>
      <c r="I290" t="s">
        <v>169</v>
      </c>
      <c r="J290">
        <v>0</v>
      </c>
      <c r="K290">
        <v>0</v>
      </c>
      <c r="L290">
        <v>0</v>
      </c>
      <c r="M290">
        <v>0</v>
      </c>
      <c r="N290">
        <v>0</v>
      </c>
      <c r="O290">
        <v>9.5</v>
      </c>
      <c r="P290">
        <v>0</v>
      </c>
      <c r="Q290">
        <v>0</v>
      </c>
      <c r="R290">
        <v>0</v>
      </c>
      <c r="S290">
        <v>0</v>
      </c>
      <c r="T290">
        <v>0</v>
      </c>
      <c r="U290">
        <v>0</v>
      </c>
      <c r="V290">
        <v>9.5</v>
      </c>
      <c r="W290" t="s">
        <v>492</v>
      </c>
      <c r="AK290" t="s">
        <v>578</v>
      </c>
    </row>
    <row r="291" spans="1:37" x14ac:dyDescent="0.25">
      <c r="A291" s="163">
        <v>46190</v>
      </c>
      <c r="B291" s="163">
        <v>46190</v>
      </c>
      <c r="C291">
        <v>3</v>
      </c>
      <c r="D291" t="s">
        <v>86</v>
      </c>
      <c r="E291">
        <v>31659</v>
      </c>
      <c r="G291">
        <v>6</v>
      </c>
      <c r="H291">
        <v>20518164717</v>
      </c>
      <c r="I291" t="s">
        <v>118</v>
      </c>
      <c r="J291">
        <v>0</v>
      </c>
      <c r="K291">
        <v>0</v>
      </c>
      <c r="L291">
        <v>0</v>
      </c>
      <c r="M291">
        <v>0</v>
      </c>
      <c r="N291">
        <v>0</v>
      </c>
      <c r="O291">
        <v>18.600000000000001</v>
      </c>
      <c r="P291">
        <v>0</v>
      </c>
      <c r="Q291">
        <v>0</v>
      </c>
      <c r="R291">
        <v>0</v>
      </c>
      <c r="S291">
        <v>0</v>
      </c>
      <c r="T291">
        <v>0</v>
      </c>
      <c r="U291">
        <v>0</v>
      </c>
      <c r="V291">
        <v>18.600000000000001</v>
      </c>
      <c r="W291" t="s">
        <v>492</v>
      </c>
      <c r="AK291" t="s">
        <v>738</v>
      </c>
    </row>
    <row r="292" spans="1:37" x14ac:dyDescent="0.25">
      <c r="A292" s="163">
        <v>46178</v>
      </c>
      <c r="B292" s="163">
        <v>46178</v>
      </c>
      <c r="C292">
        <v>3</v>
      </c>
      <c r="D292" t="s">
        <v>86</v>
      </c>
      <c r="E292">
        <v>31497</v>
      </c>
      <c r="G292">
        <v>1</v>
      </c>
      <c r="H292">
        <v>19972062</v>
      </c>
      <c r="I292" t="s">
        <v>959</v>
      </c>
      <c r="J292">
        <v>0</v>
      </c>
      <c r="K292">
        <v>0</v>
      </c>
      <c r="L292">
        <v>0</v>
      </c>
      <c r="M292">
        <v>0</v>
      </c>
      <c r="N292">
        <v>0</v>
      </c>
      <c r="O292">
        <v>10</v>
      </c>
      <c r="P292">
        <v>0</v>
      </c>
      <c r="Q292">
        <v>0</v>
      </c>
      <c r="R292">
        <v>0</v>
      </c>
      <c r="S292">
        <v>0</v>
      </c>
      <c r="T292">
        <v>0</v>
      </c>
      <c r="U292">
        <v>0</v>
      </c>
      <c r="V292">
        <v>10</v>
      </c>
      <c r="W292" t="s">
        <v>492</v>
      </c>
      <c r="AK292" t="s">
        <v>580</v>
      </c>
    </row>
    <row r="293" spans="1:37" x14ac:dyDescent="0.25">
      <c r="A293" s="163">
        <v>46190</v>
      </c>
      <c r="B293" s="163">
        <v>46190</v>
      </c>
      <c r="C293">
        <v>3</v>
      </c>
      <c r="D293" t="s">
        <v>86</v>
      </c>
      <c r="E293">
        <v>31658</v>
      </c>
      <c r="G293">
        <v>6</v>
      </c>
      <c r="H293">
        <v>20568173016</v>
      </c>
      <c r="I293" t="s">
        <v>116</v>
      </c>
      <c r="J293">
        <v>0</v>
      </c>
      <c r="K293">
        <v>0</v>
      </c>
      <c r="L293">
        <v>0</v>
      </c>
      <c r="M293">
        <v>0</v>
      </c>
      <c r="N293">
        <v>0</v>
      </c>
      <c r="O293">
        <v>15</v>
      </c>
      <c r="P293">
        <v>0</v>
      </c>
      <c r="Q293">
        <v>0</v>
      </c>
      <c r="R293">
        <v>0</v>
      </c>
      <c r="S293">
        <v>0</v>
      </c>
      <c r="T293">
        <v>0</v>
      </c>
      <c r="U293">
        <v>0</v>
      </c>
      <c r="V293">
        <v>15</v>
      </c>
      <c r="W293" t="s">
        <v>492</v>
      </c>
      <c r="AK293" t="s">
        <v>737</v>
      </c>
    </row>
    <row r="294" spans="1:37" x14ac:dyDescent="0.25">
      <c r="A294" s="163">
        <v>46199</v>
      </c>
      <c r="B294" s="163">
        <v>46199</v>
      </c>
      <c r="C294">
        <v>3</v>
      </c>
      <c r="D294" t="s">
        <v>86</v>
      </c>
      <c r="E294">
        <v>31790</v>
      </c>
      <c r="G294">
        <v>1</v>
      </c>
      <c r="H294">
        <v>73624278</v>
      </c>
      <c r="I294" t="s">
        <v>408</v>
      </c>
      <c r="J294">
        <v>0</v>
      </c>
      <c r="K294">
        <v>0</v>
      </c>
      <c r="L294">
        <v>0</v>
      </c>
      <c r="M294">
        <v>0</v>
      </c>
      <c r="N294">
        <v>0</v>
      </c>
      <c r="O294">
        <v>43.4</v>
      </c>
      <c r="P294">
        <v>0</v>
      </c>
      <c r="Q294">
        <v>0</v>
      </c>
      <c r="R294">
        <v>0</v>
      </c>
      <c r="S294">
        <v>0</v>
      </c>
      <c r="T294">
        <v>0</v>
      </c>
      <c r="U294">
        <v>0</v>
      </c>
      <c r="V294">
        <v>43.4</v>
      </c>
      <c r="W294" t="s">
        <v>492</v>
      </c>
      <c r="AK294" t="s">
        <v>870</v>
      </c>
    </row>
    <row r="295" spans="1:37" x14ac:dyDescent="0.25">
      <c r="A295" s="163">
        <v>46184</v>
      </c>
      <c r="B295" s="163">
        <v>46184</v>
      </c>
      <c r="C295">
        <v>3</v>
      </c>
      <c r="D295" t="s">
        <v>86</v>
      </c>
      <c r="E295">
        <v>31578</v>
      </c>
      <c r="G295">
        <v>1</v>
      </c>
      <c r="H295">
        <v>19919640</v>
      </c>
      <c r="I295" t="s">
        <v>960</v>
      </c>
      <c r="J295">
        <v>0</v>
      </c>
      <c r="K295">
        <v>0</v>
      </c>
      <c r="L295">
        <v>0</v>
      </c>
      <c r="M295">
        <v>0</v>
      </c>
      <c r="N295">
        <v>0</v>
      </c>
      <c r="O295">
        <v>64.900000000000006</v>
      </c>
      <c r="P295">
        <v>0</v>
      </c>
      <c r="Q295">
        <v>0</v>
      </c>
      <c r="R295">
        <v>0</v>
      </c>
      <c r="S295">
        <v>0</v>
      </c>
      <c r="T295">
        <v>0</v>
      </c>
      <c r="U295">
        <v>0</v>
      </c>
      <c r="V295">
        <v>64.900000000000006</v>
      </c>
      <c r="W295" t="s">
        <v>492</v>
      </c>
      <c r="AK295" t="s">
        <v>657</v>
      </c>
    </row>
    <row r="296" spans="1:37" x14ac:dyDescent="0.25">
      <c r="A296" s="163">
        <v>46179</v>
      </c>
      <c r="B296" s="163">
        <v>46179</v>
      </c>
      <c r="C296">
        <v>3</v>
      </c>
      <c r="D296" t="s">
        <v>86</v>
      </c>
      <c r="E296">
        <v>31502</v>
      </c>
      <c r="G296">
        <v>1</v>
      </c>
      <c r="H296">
        <v>60228991</v>
      </c>
      <c r="I296" t="s">
        <v>178</v>
      </c>
      <c r="J296">
        <v>0</v>
      </c>
      <c r="K296">
        <v>0</v>
      </c>
      <c r="L296">
        <v>0</v>
      </c>
      <c r="M296">
        <v>0</v>
      </c>
      <c r="N296">
        <v>0</v>
      </c>
      <c r="O296">
        <v>5.5</v>
      </c>
      <c r="P296">
        <v>0</v>
      </c>
      <c r="Q296">
        <v>0</v>
      </c>
      <c r="R296">
        <v>0</v>
      </c>
      <c r="S296">
        <v>0</v>
      </c>
      <c r="T296">
        <v>0</v>
      </c>
      <c r="U296">
        <v>0</v>
      </c>
      <c r="V296">
        <v>5.5</v>
      </c>
      <c r="W296" t="s">
        <v>492</v>
      </c>
      <c r="AK296" t="s">
        <v>585</v>
      </c>
    </row>
    <row r="297" spans="1:37" x14ac:dyDescent="0.25">
      <c r="A297" s="163">
        <v>46177</v>
      </c>
      <c r="B297" s="163">
        <v>46177</v>
      </c>
      <c r="C297">
        <v>3</v>
      </c>
      <c r="D297" t="s">
        <v>86</v>
      </c>
      <c r="E297">
        <v>31478</v>
      </c>
      <c r="G297">
        <v>1</v>
      </c>
      <c r="H297">
        <v>47180582</v>
      </c>
      <c r="I297" t="s">
        <v>156</v>
      </c>
      <c r="J297">
        <v>0</v>
      </c>
      <c r="K297">
        <v>0</v>
      </c>
      <c r="L297">
        <v>0</v>
      </c>
      <c r="M297">
        <v>0</v>
      </c>
      <c r="N297">
        <v>0</v>
      </c>
      <c r="O297">
        <v>58.2</v>
      </c>
      <c r="P297">
        <v>0</v>
      </c>
      <c r="Q297">
        <v>0</v>
      </c>
      <c r="R297">
        <v>0</v>
      </c>
      <c r="S297">
        <v>0</v>
      </c>
      <c r="T297">
        <v>0</v>
      </c>
      <c r="U297">
        <v>0</v>
      </c>
      <c r="V297">
        <v>58.2</v>
      </c>
      <c r="W297" t="s">
        <v>492</v>
      </c>
      <c r="AK297" t="s">
        <v>562</v>
      </c>
    </row>
    <row r="298" spans="1:37" x14ac:dyDescent="0.25">
      <c r="A298" s="163">
        <v>46189</v>
      </c>
      <c r="B298" s="163">
        <v>46189</v>
      </c>
      <c r="C298">
        <v>3</v>
      </c>
      <c r="D298" t="s">
        <v>86</v>
      </c>
      <c r="E298">
        <v>31653</v>
      </c>
      <c r="G298">
        <v>1</v>
      </c>
      <c r="H298">
        <v>44350238</v>
      </c>
      <c r="I298" t="s">
        <v>302</v>
      </c>
      <c r="J298">
        <v>0</v>
      </c>
      <c r="K298">
        <v>0</v>
      </c>
      <c r="L298">
        <v>0</v>
      </c>
      <c r="M298">
        <v>0</v>
      </c>
      <c r="N298">
        <v>0</v>
      </c>
      <c r="O298">
        <v>50</v>
      </c>
      <c r="P298">
        <v>0</v>
      </c>
      <c r="Q298">
        <v>0</v>
      </c>
      <c r="R298">
        <v>0</v>
      </c>
      <c r="S298">
        <v>0</v>
      </c>
      <c r="T298">
        <v>0</v>
      </c>
      <c r="U298">
        <v>0</v>
      </c>
      <c r="V298">
        <v>50</v>
      </c>
      <c r="W298" t="s">
        <v>492</v>
      </c>
      <c r="AK298" t="s">
        <v>732</v>
      </c>
    </row>
    <row r="299" spans="1:37" x14ac:dyDescent="0.25">
      <c r="A299" s="163">
        <v>46203</v>
      </c>
      <c r="B299" s="163">
        <v>46203</v>
      </c>
      <c r="C299">
        <v>3</v>
      </c>
      <c r="D299" t="s">
        <v>86</v>
      </c>
      <c r="E299">
        <v>31838</v>
      </c>
      <c r="G299">
        <v>1</v>
      </c>
      <c r="H299">
        <v>72189833</v>
      </c>
      <c r="I299" t="s">
        <v>447</v>
      </c>
      <c r="J299">
        <v>0</v>
      </c>
      <c r="K299">
        <v>0</v>
      </c>
      <c r="L299">
        <v>0</v>
      </c>
      <c r="M299">
        <v>0</v>
      </c>
      <c r="N299">
        <v>0</v>
      </c>
      <c r="O299">
        <v>10</v>
      </c>
      <c r="P299">
        <v>0</v>
      </c>
      <c r="Q299">
        <v>0</v>
      </c>
      <c r="R299">
        <v>0</v>
      </c>
      <c r="S299">
        <v>0</v>
      </c>
      <c r="T299">
        <v>0</v>
      </c>
      <c r="U299">
        <v>0</v>
      </c>
      <c r="V299">
        <v>10</v>
      </c>
      <c r="W299" t="s">
        <v>492</v>
      </c>
      <c r="AK299" t="s">
        <v>917</v>
      </c>
    </row>
    <row r="300" spans="1:37" x14ac:dyDescent="0.25">
      <c r="A300" s="163">
        <v>46190</v>
      </c>
      <c r="B300" s="163">
        <v>46190</v>
      </c>
      <c r="C300">
        <v>3</v>
      </c>
      <c r="D300" t="s">
        <v>86</v>
      </c>
      <c r="E300">
        <v>31661</v>
      </c>
      <c r="G300">
        <v>1</v>
      </c>
      <c r="H300">
        <v>40483845</v>
      </c>
      <c r="I300" t="s">
        <v>305</v>
      </c>
      <c r="J300">
        <v>0</v>
      </c>
      <c r="K300">
        <v>0</v>
      </c>
      <c r="L300">
        <v>0</v>
      </c>
      <c r="M300">
        <v>0</v>
      </c>
      <c r="N300">
        <v>0</v>
      </c>
      <c r="O300">
        <v>90.2</v>
      </c>
      <c r="P300">
        <v>0</v>
      </c>
      <c r="Q300">
        <v>0</v>
      </c>
      <c r="R300">
        <v>0</v>
      </c>
      <c r="S300">
        <v>0</v>
      </c>
      <c r="T300">
        <v>0</v>
      </c>
      <c r="U300">
        <v>0</v>
      </c>
      <c r="V300">
        <v>90.2</v>
      </c>
      <c r="W300" t="s">
        <v>492</v>
      </c>
      <c r="AK300" t="s">
        <v>740</v>
      </c>
    </row>
    <row r="301" spans="1:37" x14ac:dyDescent="0.25">
      <c r="A301" s="163">
        <v>46185</v>
      </c>
      <c r="B301" s="163">
        <v>46185</v>
      </c>
      <c r="C301">
        <v>3</v>
      </c>
      <c r="D301" t="s">
        <v>86</v>
      </c>
      <c r="E301">
        <v>31602</v>
      </c>
      <c r="G301">
        <v>1</v>
      </c>
      <c r="H301">
        <v>20438601</v>
      </c>
      <c r="I301" t="s">
        <v>264</v>
      </c>
      <c r="J301">
        <v>0</v>
      </c>
      <c r="K301">
        <v>0</v>
      </c>
      <c r="L301">
        <v>0</v>
      </c>
      <c r="M301">
        <v>0</v>
      </c>
      <c r="N301">
        <v>0</v>
      </c>
      <c r="O301">
        <v>64.900000000000006</v>
      </c>
      <c r="P301">
        <v>0</v>
      </c>
      <c r="Q301">
        <v>0</v>
      </c>
      <c r="R301">
        <v>0</v>
      </c>
      <c r="S301">
        <v>0</v>
      </c>
      <c r="T301">
        <v>0</v>
      </c>
      <c r="U301">
        <v>0</v>
      </c>
      <c r="V301">
        <v>64.900000000000006</v>
      </c>
      <c r="W301" t="s">
        <v>492</v>
      </c>
      <c r="AK301" t="s">
        <v>681</v>
      </c>
    </row>
    <row r="302" spans="1:37" x14ac:dyDescent="0.25">
      <c r="A302" s="163">
        <v>46176</v>
      </c>
      <c r="B302" s="163">
        <v>46176</v>
      </c>
      <c r="C302">
        <v>3</v>
      </c>
      <c r="D302" t="s">
        <v>86</v>
      </c>
      <c r="E302">
        <v>31461</v>
      </c>
      <c r="G302">
        <v>1</v>
      </c>
      <c r="H302">
        <v>40816886</v>
      </c>
      <c r="I302" t="s">
        <v>142</v>
      </c>
      <c r="J302">
        <v>0</v>
      </c>
      <c r="K302">
        <v>0</v>
      </c>
      <c r="L302">
        <v>0</v>
      </c>
      <c r="M302">
        <v>0</v>
      </c>
      <c r="N302">
        <v>0</v>
      </c>
      <c r="O302">
        <v>100</v>
      </c>
      <c r="P302">
        <v>0</v>
      </c>
      <c r="Q302">
        <v>0</v>
      </c>
      <c r="R302">
        <v>0</v>
      </c>
      <c r="S302">
        <v>0</v>
      </c>
      <c r="T302">
        <v>0</v>
      </c>
      <c r="U302">
        <v>0</v>
      </c>
      <c r="V302">
        <v>100</v>
      </c>
      <c r="W302" t="s">
        <v>492</v>
      </c>
      <c r="AK302" t="s">
        <v>546</v>
      </c>
    </row>
    <row r="303" spans="1:37" x14ac:dyDescent="0.25">
      <c r="A303" s="163">
        <v>46189</v>
      </c>
      <c r="B303" s="163">
        <v>46189</v>
      </c>
      <c r="C303">
        <v>3</v>
      </c>
      <c r="D303" t="s">
        <v>86</v>
      </c>
      <c r="E303">
        <v>31642</v>
      </c>
      <c r="G303">
        <v>6</v>
      </c>
      <c r="H303">
        <v>20607752282</v>
      </c>
      <c r="I303" t="s">
        <v>292</v>
      </c>
      <c r="J303">
        <v>0</v>
      </c>
      <c r="K303">
        <v>0</v>
      </c>
      <c r="L303">
        <v>0</v>
      </c>
      <c r="M303">
        <v>0</v>
      </c>
      <c r="N303">
        <v>0</v>
      </c>
      <c r="O303">
        <v>20</v>
      </c>
      <c r="P303">
        <v>0</v>
      </c>
      <c r="Q303">
        <v>0</v>
      </c>
      <c r="R303">
        <v>0</v>
      </c>
      <c r="S303">
        <v>0</v>
      </c>
      <c r="T303">
        <v>0</v>
      </c>
      <c r="U303">
        <v>0</v>
      </c>
      <c r="V303">
        <v>20</v>
      </c>
      <c r="W303" t="s">
        <v>492</v>
      </c>
      <c r="AK303" t="s">
        <v>721</v>
      </c>
    </row>
    <row r="304" spans="1:37" x14ac:dyDescent="0.25">
      <c r="A304" s="163">
        <v>46185</v>
      </c>
      <c r="B304" s="163">
        <v>46185</v>
      </c>
      <c r="C304">
        <v>3</v>
      </c>
      <c r="D304" t="s">
        <v>86</v>
      </c>
      <c r="E304">
        <v>31595</v>
      </c>
      <c r="G304">
        <v>1</v>
      </c>
      <c r="H304">
        <v>18140799</v>
      </c>
      <c r="I304" t="s">
        <v>257</v>
      </c>
      <c r="J304">
        <v>0</v>
      </c>
      <c r="K304">
        <v>0</v>
      </c>
      <c r="L304">
        <v>0</v>
      </c>
      <c r="M304">
        <v>0</v>
      </c>
      <c r="N304">
        <v>0</v>
      </c>
      <c r="O304">
        <v>15</v>
      </c>
      <c r="P304">
        <v>0</v>
      </c>
      <c r="Q304">
        <v>0</v>
      </c>
      <c r="R304">
        <v>0</v>
      </c>
      <c r="S304">
        <v>0</v>
      </c>
      <c r="T304">
        <v>0</v>
      </c>
      <c r="U304">
        <v>0</v>
      </c>
      <c r="V304">
        <v>15</v>
      </c>
      <c r="W304" t="s">
        <v>492</v>
      </c>
      <c r="AK304" t="s">
        <v>675</v>
      </c>
    </row>
    <row r="305" spans="1:37" x14ac:dyDescent="0.25">
      <c r="A305" s="163">
        <v>46197</v>
      </c>
      <c r="B305" s="163">
        <v>46197</v>
      </c>
      <c r="C305">
        <v>3</v>
      </c>
      <c r="D305" t="s">
        <v>86</v>
      </c>
      <c r="E305">
        <v>31768</v>
      </c>
      <c r="G305">
        <v>1</v>
      </c>
      <c r="H305">
        <v>43122719</v>
      </c>
      <c r="I305" t="s">
        <v>388</v>
      </c>
      <c r="J305">
        <v>0</v>
      </c>
      <c r="K305">
        <v>0</v>
      </c>
      <c r="L305">
        <v>0</v>
      </c>
      <c r="M305">
        <v>0</v>
      </c>
      <c r="N305">
        <v>0</v>
      </c>
      <c r="O305">
        <v>10</v>
      </c>
      <c r="P305">
        <v>0</v>
      </c>
      <c r="Q305">
        <v>0</v>
      </c>
      <c r="R305">
        <v>0</v>
      </c>
      <c r="S305">
        <v>0</v>
      </c>
      <c r="T305">
        <v>0</v>
      </c>
      <c r="U305">
        <v>0</v>
      </c>
      <c r="V305">
        <v>10</v>
      </c>
      <c r="W305" t="s">
        <v>492</v>
      </c>
      <c r="AK305" t="s">
        <v>848</v>
      </c>
    </row>
    <row r="306" spans="1:37" x14ac:dyDescent="0.25">
      <c r="A306" s="163">
        <v>46185</v>
      </c>
      <c r="B306" s="163">
        <v>46185</v>
      </c>
      <c r="C306">
        <v>3</v>
      </c>
      <c r="D306" t="s">
        <v>86</v>
      </c>
      <c r="E306">
        <v>31601</v>
      </c>
      <c r="G306">
        <v>1</v>
      </c>
      <c r="H306">
        <v>43097636</v>
      </c>
      <c r="I306" t="s">
        <v>263</v>
      </c>
      <c r="J306">
        <v>0</v>
      </c>
      <c r="K306">
        <v>0</v>
      </c>
      <c r="L306">
        <v>0</v>
      </c>
      <c r="M306">
        <v>0</v>
      </c>
      <c r="N306">
        <v>0</v>
      </c>
      <c r="O306">
        <v>225</v>
      </c>
      <c r="P306">
        <v>0</v>
      </c>
      <c r="Q306">
        <v>0</v>
      </c>
      <c r="R306">
        <v>0</v>
      </c>
      <c r="S306">
        <v>0</v>
      </c>
      <c r="T306">
        <v>0</v>
      </c>
      <c r="U306">
        <v>0</v>
      </c>
      <c r="V306">
        <v>225</v>
      </c>
      <c r="W306" t="s">
        <v>492</v>
      </c>
      <c r="AK306" t="s">
        <v>680</v>
      </c>
    </row>
    <row r="307" spans="1:37" x14ac:dyDescent="0.25">
      <c r="A307" s="163">
        <v>46199</v>
      </c>
      <c r="B307" s="163">
        <v>46199</v>
      </c>
      <c r="C307">
        <v>3</v>
      </c>
      <c r="D307" t="s">
        <v>86</v>
      </c>
      <c r="E307">
        <v>31792</v>
      </c>
      <c r="G307">
        <v>1</v>
      </c>
      <c r="H307">
        <v>46431380</v>
      </c>
      <c r="I307" t="s">
        <v>410</v>
      </c>
      <c r="J307">
        <v>0</v>
      </c>
      <c r="K307">
        <v>0</v>
      </c>
      <c r="L307">
        <v>0</v>
      </c>
      <c r="M307">
        <v>0</v>
      </c>
      <c r="N307">
        <v>0</v>
      </c>
      <c r="O307">
        <v>10</v>
      </c>
      <c r="P307">
        <v>0</v>
      </c>
      <c r="Q307">
        <v>0</v>
      </c>
      <c r="R307">
        <v>0</v>
      </c>
      <c r="S307">
        <v>0</v>
      </c>
      <c r="T307">
        <v>0</v>
      </c>
      <c r="U307">
        <v>0</v>
      </c>
      <c r="V307">
        <v>10</v>
      </c>
      <c r="W307" t="s">
        <v>492</v>
      </c>
      <c r="AK307" t="s">
        <v>872</v>
      </c>
    </row>
    <row r="308" spans="1:37" x14ac:dyDescent="0.25">
      <c r="A308" s="163">
        <v>46191</v>
      </c>
      <c r="B308" s="163">
        <v>46191</v>
      </c>
      <c r="C308">
        <v>3</v>
      </c>
      <c r="D308" t="s">
        <v>86</v>
      </c>
      <c r="E308">
        <v>31689</v>
      </c>
      <c r="G308">
        <v>1</v>
      </c>
      <c r="H308">
        <v>70019439</v>
      </c>
      <c r="I308" t="s">
        <v>327</v>
      </c>
      <c r="J308">
        <v>0</v>
      </c>
      <c r="K308">
        <v>0</v>
      </c>
      <c r="L308">
        <v>0</v>
      </c>
      <c r="M308">
        <v>0</v>
      </c>
      <c r="N308">
        <v>0</v>
      </c>
      <c r="O308">
        <v>28</v>
      </c>
      <c r="P308">
        <v>0</v>
      </c>
      <c r="Q308">
        <v>0</v>
      </c>
      <c r="R308">
        <v>0</v>
      </c>
      <c r="S308">
        <v>0</v>
      </c>
      <c r="T308">
        <v>0</v>
      </c>
      <c r="U308">
        <v>0</v>
      </c>
      <c r="V308">
        <v>28</v>
      </c>
      <c r="W308" t="s">
        <v>492</v>
      </c>
      <c r="AK308" t="s">
        <v>768</v>
      </c>
    </row>
    <row r="309" spans="1:37" x14ac:dyDescent="0.25">
      <c r="A309" s="163">
        <v>46198</v>
      </c>
      <c r="B309" s="163">
        <v>46198</v>
      </c>
      <c r="C309">
        <v>3</v>
      </c>
      <c r="D309" t="s">
        <v>86</v>
      </c>
      <c r="E309">
        <v>31776</v>
      </c>
      <c r="G309">
        <v>1</v>
      </c>
      <c r="H309">
        <v>20434696</v>
      </c>
      <c r="I309" t="s">
        <v>961</v>
      </c>
      <c r="J309">
        <v>0</v>
      </c>
      <c r="K309">
        <v>0</v>
      </c>
      <c r="L309">
        <v>0</v>
      </c>
      <c r="M309">
        <v>0</v>
      </c>
      <c r="N309">
        <v>0</v>
      </c>
      <c r="O309">
        <v>50</v>
      </c>
      <c r="P309">
        <v>0</v>
      </c>
      <c r="Q309">
        <v>0</v>
      </c>
      <c r="R309">
        <v>0</v>
      </c>
      <c r="S309">
        <v>0</v>
      </c>
      <c r="T309">
        <v>0</v>
      </c>
      <c r="U309">
        <v>0</v>
      </c>
      <c r="V309">
        <v>50</v>
      </c>
      <c r="W309" t="s">
        <v>492</v>
      </c>
      <c r="AK309" t="s">
        <v>857</v>
      </c>
    </row>
    <row r="310" spans="1:37" x14ac:dyDescent="0.25">
      <c r="A310" s="163">
        <v>46190</v>
      </c>
      <c r="B310" s="163">
        <v>46190</v>
      </c>
      <c r="C310">
        <v>3</v>
      </c>
      <c r="D310" t="s">
        <v>86</v>
      </c>
      <c r="E310">
        <v>31655</v>
      </c>
      <c r="G310">
        <v>1</v>
      </c>
      <c r="H310">
        <v>20070172</v>
      </c>
      <c r="I310" t="s">
        <v>303</v>
      </c>
      <c r="J310">
        <v>0</v>
      </c>
      <c r="K310">
        <v>0</v>
      </c>
      <c r="L310">
        <v>0</v>
      </c>
      <c r="M310">
        <v>0</v>
      </c>
      <c r="N310">
        <v>0</v>
      </c>
      <c r="O310">
        <v>405</v>
      </c>
      <c r="P310">
        <v>0</v>
      </c>
      <c r="Q310">
        <v>0</v>
      </c>
      <c r="R310">
        <v>0</v>
      </c>
      <c r="S310">
        <v>0</v>
      </c>
      <c r="T310">
        <v>0</v>
      </c>
      <c r="U310">
        <v>0</v>
      </c>
      <c r="V310">
        <v>405</v>
      </c>
      <c r="W310" t="s">
        <v>492</v>
      </c>
      <c r="AK310" t="s">
        <v>733</v>
      </c>
    </row>
    <row r="311" spans="1:37" x14ac:dyDescent="0.25">
      <c r="A311" s="163">
        <v>46197</v>
      </c>
      <c r="B311" s="163">
        <v>46197</v>
      </c>
      <c r="C311">
        <v>3</v>
      </c>
      <c r="D311" t="s">
        <v>86</v>
      </c>
      <c r="E311">
        <v>31763</v>
      </c>
      <c r="G311">
        <v>1</v>
      </c>
      <c r="H311">
        <v>40226312</v>
      </c>
      <c r="I311" t="s">
        <v>385</v>
      </c>
      <c r="J311">
        <v>0</v>
      </c>
      <c r="K311">
        <v>0</v>
      </c>
      <c r="L311">
        <v>0</v>
      </c>
      <c r="M311">
        <v>0</v>
      </c>
      <c r="N311">
        <v>0</v>
      </c>
      <c r="O311">
        <v>5</v>
      </c>
      <c r="P311">
        <v>0</v>
      </c>
      <c r="Q311">
        <v>0</v>
      </c>
      <c r="R311">
        <v>0</v>
      </c>
      <c r="S311">
        <v>0</v>
      </c>
      <c r="T311">
        <v>0</v>
      </c>
      <c r="U311">
        <v>0</v>
      </c>
      <c r="V311">
        <v>5</v>
      </c>
      <c r="W311" t="s">
        <v>492</v>
      </c>
      <c r="AK311" t="s">
        <v>844</v>
      </c>
    </row>
    <row r="312" spans="1:37" x14ac:dyDescent="0.25">
      <c r="A312" s="163">
        <v>46182</v>
      </c>
      <c r="B312" s="163">
        <v>46182</v>
      </c>
      <c r="C312">
        <v>3</v>
      </c>
      <c r="D312" t="s">
        <v>86</v>
      </c>
      <c r="E312">
        <v>31547</v>
      </c>
      <c r="G312">
        <v>1</v>
      </c>
      <c r="H312">
        <v>73610066</v>
      </c>
      <c r="I312" t="s">
        <v>219</v>
      </c>
      <c r="J312">
        <v>0</v>
      </c>
      <c r="K312">
        <v>0</v>
      </c>
      <c r="L312">
        <v>0</v>
      </c>
      <c r="M312">
        <v>0</v>
      </c>
      <c r="N312">
        <v>0</v>
      </c>
      <c r="O312">
        <v>5</v>
      </c>
      <c r="P312">
        <v>0</v>
      </c>
      <c r="Q312">
        <v>0</v>
      </c>
      <c r="R312">
        <v>0</v>
      </c>
      <c r="S312">
        <v>0</v>
      </c>
      <c r="T312">
        <v>0</v>
      </c>
      <c r="U312">
        <v>0</v>
      </c>
      <c r="V312">
        <v>5</v>
      </c>
      <c r="W312" t="s">
        <v>492</v>
      </c>
      <c r="AK312" t="s">
        <v>629</v>
      </c>
    </row>
    <row r="313" spans="1:37" x14ac:dyDescent="0.25">
      <c r="A313" s="163">
        <v>46191</v>
      </c>
      <c r="B313" s="163">
        <v>46191</v>
      </c>
      <c r="C313">
        <v>3</v>
      </c>
      <c r="D313" t="s">
        <v>86</v>
      </c>
      <c r="E313">
        <v>31685</v>
      </c>
      <c r="G313">
        <v>1</v>
      </c>
      <c r="H313">
        <v>44519289</v>
      </c>
      <c r="I313" t="s">
        <v>323</v>
      </c>
      <c r="J313">
        <v>0</v>
      </c>
      <c r="K313">
        <v>0</v>
      </c>
      <c r="L313">
        <v>0</v>
      </c>
      <c r="M313">
        <v>0</v>
      </c>
      <c r="N313">
        <v>0</v>
      </c>
      <c r="O313">
        <v>29</v>
      </c>
      <c r="P313">
        <v>0</v>
      </c>
      <c r="Q313">
        <v>0</v>
      </c>
      <c r="R313">
        <v>0</v>
      </c>
      <c r="S313">
        <v>0</v>
      </c>
      <c r="T313">
        <v>0</v>
      </c>
      <c r="U313">
        <v>0</v>
      </c>
      <c r="V313">
        <v>29</v>
      </c>
      <c r="W313" t="s">
        <v>492</v>
      </c>
      <c r="AK313" t="s">
        <v>764</v>
      </c>
    </row>
    <row r="314" spans="1:37" x14ac:dyDescent="0.25">
      <c r="A314" s="163">
        <v>46191</v>
      </c>
      <c r="B314" s="163">
        <v>46191</v>
      </c>
      <c r="C314">
        <v>3</v>
      </c>
      <c r="D314" t="s">
        <v>86</v>
      </c>
      <c r="E314">
        <v>31690</v>
      </c>
      <c r="G314">
        <v>1</v>
      </c>
      <c r="H314">
        <v>40816816</v>
      </c>
      <c r="I314" t="s">
        <v>239</v>
      </c>
      <c r="J314">
        <v>0</v>
      </c>
      <c r="K314">
        <v>0</v>
      </c>
      <c r="L314">
        <v>0</v>
      </c>
      <c r="M314">
        <v>0</v>
      </c>
      <c r="N314">
        <v>0</v>
      </c>
      <c r="O314">
        <v>50</v>
      </c>
      <c r="P314">
        <v>0</v>
      </c>
      <c r="Q314">
        <v>0</v>
      </c>
      <c r="R314">
        <v>0</v>
      </c>
      <c r="S314">
        <v>0</v>
      </c>
      <c r="T314">
        <v>0</v>
      </c>
      <c r="U314">
        <v>0</v>
      </c>
      <c r="V314">
        <v>50</v>
      </c>
      <c r="W314" t="s">
        <v>492</v>
      </c>
      <c r="AK314" t="s">
        <v>769</v>
      </c>
    </row>
    <row r="315" spans="1:37" x14ac:dyDescent="0.25">
      <c r="A315" s="163">
        <v>46197</v>
      </c>
      <c r="B315" s="163">
        <v>46197</v>
      </c>
      <c r="C315">
        <v>3</v>
      </c>
      <c r="D315" t="s">
        <v>86</v>
      </c>
      <c r="E315">
        <v>31762</v>
      </c>
      <c r="G315">
        <v>1</v>
      </c>
      <c r="H315">
        <v>20882561</v>
      </c>
      <c r="I315" t="s">
        <v>384</v>
      </c>
      <c r="J315">
        <v>0</v>
      </c>
      <c r="K315">
        <v>0</v>
      </c>
      <c r="L315">
        <v>0</v>
      </c>
      <c r="M315">
        <v>0</v>
      </c>
      <c r="N315">
        <v>0</v>
      </c>
      <c r="O315">
        <v>10</v>
      </c>
      <c r="P315">
        <v>0</v>
      </c>
      <c r="Q315">
        <v>0</v>
      </c>
      <c r="R315">
        <v>0</v>
      </c>
      <c r="S315">
        <v>0</v>
      </c>
      <c r="T315">
        <v>0</v>
      </c>
      <c r="U315">
        <v>0</v>
      </c>
      <c r="V315">
        <v>10</v>
      </c>
      <c r="W315" t="s">
        <v>492</v>
      </c>
      <c r="AK315" t="s">
        <v>843</v>
      </c>
    </row>
    <row r="316" spans="1:37" x14ac:dyDescent="0.25">
      <c r="A316" s="163">
        <v>46181</v>
      </c>
      <c r="B316" s="163">
        <v>46181</v>
      </c>
      <c r="C316">
        <v>3</v>
      </c>
      <c r="D316" t="s">
        <v>86</v>
      </c>
      <c r="E316">
        <v>31542</v>
      </c>
      <c r="G316">
        <v>1</v>
      </c>
      <c r="H316">
        <v>41978800</v>
      </c>
      <c r="I316" t="s">
        <v>215</v>
      </c>
      <c r="J316">
        <v>0</v>
      </c>
      <c r="K316">
        <v>0</v>
      </c>
      <c r="L316">
        <v>0</v>
      </c>
      <c r="M316">
        <v>0</v>
      </c>
      <c r="N316">
        <v>0</v>
      </c>
      <c r="O316">
        <v>5</v>
      </c>
      <c r="P316">
        <v>0</v>
      </c>
      <c r="Q316">
        <v>0</v>
      </c>
      <c r="R316">
        <v>0</v>
      </c>
      <c r="S316">
        <v>0</v>
      </c>
      <c r="T316">
        <v>0</v>
      </c>
      <c r="U316">
        <v>0</v>
      </c>
      <c r="V316">
        <v>5</v>
      </c>
      <c r="W316" t="s">
        <v>492</v>
      </c>
      <c r="AK316" t="s">
        <v>624</v>
      </c>
    </row>
    <row r="317" spans="1:37" x14ac:dyDescent="0.25">
      <c r="A317" s="163">
        <v>46203</v>
      </c>
      <c r="B317" s="163">
        <v>46203</v>
      </c>
      <c r="C317">
        <v>3</v>
      </c>
      <c r="D317" t="s">
        <v>86</v>
      </c>
      <c r="E317">
        <v>31839</v>
      </c>
      <c r="G317">
        <v>1</v>
      </c>
      <c r="H317">
        <v>19806245</v>
      </c>
      <c r="I317" t="s">
        <v>280</v>
      </c>
      <c r="J317">
        <v>0</v>
      </c>
      <c r="K317">
        <v>0</v>
      </c>
      <c r="L317">
        <v>0</v>
      </c>
      <c r="M317">
        <v>0</v>
      </c>
      <c r="N317">
        <v>0</v>
      </c>
      <c r="O317">
        <v>10</v>
      </c>
      <c r="P317">
        <v>0</v>
      </c>
      <c r="Q317">
        <v>0</v>
      </c>
      <c r="R317">
        <v>0</v>
      </c>
      <c r="S317">
        <v>0</v>
      </c>
      <c r="T317">
        <v>0</v>
      </c>
      <c r="U317">
        <v>0</v>
      </c>
      <c r="V317">
        <v>10</v>
      </c>
      <c r="W317" t="s">
        <v>492</v>
      </c>
      <c r="AK317" t="s">
        <v>918</v>
      </c>
    </row>
    <row r="318" spans="1:37" x14ac:dyDescent="0.25">
      <c r="A318" s="163">
        <v>46178</v>
      </c>
      <c r="B318" s="163">
        <v>46178</v>
      </c>
      <c r="C318">
        <v>3</v>
      </c>
      <c r="D318" t="s">
        <v>86</v>
      </c>
      <c r="E318">
        <v>31499</v>
      </c>
      <c r="G318">
        <v>1</v>
      </c>
      <c r="H318">
        <v>20434605</v>
      </c>
      <c r="I318" t="s">
        <v>174</v>
      </c>
      <c r="J318">
        <v>0</v>
      </c>
      <c r="K318">
        <v>0</v>
      </c>
      <c r="L318">
        <v>0</v>
      </c>
      <c r="M318">
        <v>0</v>
      </c>
      <c r="N318">
        <v>0</v>
      </c>
      <c r="O318">
        <v>30</v>
      </c>
      <c r="P318">
        <v>0</v>
      </c>
      <c r="Q318">
        <v>0</v>
      </c>
      <c r="R318">
        <v>0</v>
      </c>
      <c r="S318">
        <v>0</v>
      </c>
      <c r="T318">
        <v>0</v>
      </c>
      <c r="U318">
        <v>0</v>
      </c>
      <c r="V318">
        <v>30</v>
      </c>
      <c r="W318" t="s">
        <v>492</v>
      </c>
      <c r="AK318" t="s">
        <v>582</v>
      </c>
    </row>
    <row r="319" spans="1:37" x14ac:dyDescent="0.25">
      <c r="A319" s="163">
        <v>46183</v>
      </c>
      <c r="B319" s="163">
        <v>46183</v>
      </c>
      <c r="C319">
        <v>3</v>
      </c>
      <c r="D319" t="s">
        <v>86</v>
      </c>
      <c r="E319">
        <v>31560</v>
      </c>
      <c r="G319">
        <v>1</v>
      </c>
      <c r="H319">
        <v>43733683</v>
      </c>
      <c r="I319" t="s">
        <v>229</v>
      </c>
      <c r="J319">
        <v>0</v>
      </c>
      <c r="K319">
        <v>0</v>
      </c>
      <c r="L319">
        <v>0</v>
      </c>
      <c r="M319">
        <v>0</v>
      </c>
      <c r="N319">
        <v>0</v>
      </c>
      <c r="O319">
        <v>125</v>
      </c>
      <c r="P319">
        <v>0</v>
      </c>
      <c r="Q319">
        <v>0</v>
      </c>
      <c r="R319">
        <v>0</v>
      </c>
      <c r="S319">
        <v>0</v>
      </c>
      <c r="T319">
        <v>0</v>
      </c>
      <c r="U319">
        <v>0</v>
      </c>
      <c r="V319">
        <v>125</v>
      </c>
      <c r="W319" t="s">
        <v>492</v>
      </c>
      <c r="AK319" t="s">
        <v>641</v>
      </c>
    </row>
    <row r="320" spans="1:37" x14ac:dyDescent="0.25">
      <c r="A320" s="163">
        <v>46183</v>
      </c>
      <c r="B320" s="163">
        <v>46183</v>
      </c>
      <c r="C320">
        <v>3</v>
      </c>
      <c r="D320" t="s">
        <v>86</v>
      </c>
      <c r="E320">
        <v>31563</v>
      </c>
      <c r="G320">
        <v>1</v>
      </c>
      <c r="H320">
        <v>47908795</v>
      </c>
      <c r="I320" t="s">
        <v>232</v>
      </c>
      <c r="J320">
        <v>0</v>
      </c>
      <c r="K320">
        <v>0</v>
      </c>
      <c r="L320">
        <v>0</v>
      </c>
      <c r="M320">
        <v>0</v>
      </c>
      <c r="N320">
        <v>0</v>
      </c>
      <c r="O320">
        <v>43.7</v>
      </c>
      <c r="P320">
        <v>0</v>
      </c>
      <c r="Q320">
        <v>0</v>
      </c>
      <c r="R320">
        <v>0</v>
      </c>
      <c r="S320">
        <v>0</v>
      </c>
      <c r="T320">
        <v>0</v>
      </c>
      <c r="U320">
        <v>0</v>
      </c>
      <c r="V320">
        <v>43.7</v>
      </c>
      <c r="W320" t="s">
        <v>492</v>
      </c>
      <c r="AK320" t="s">
        <v>644</v>
      </c>
    </row>
    <row r="321" spans="1:37" x14ac:dyDescent="0.25">
      <c r="A321" s="163">
        <v>46192</v>
      </c>
      <c r="B321" s="163">
        <v>46192</v>
      </c>
      <c r="C321">
        <v>3</v>
      </c>
      <c r="D321" t="s">
        <v>86</v>
      </c>
      <c r="E321">
        <v>31698</v>
      </c>
      <c r="G321">
        <v>1</v>
      </c>
      <c r="H321">
        <v>23256797</v>
      </c>
      <c r="I321" t="s">
        <v>335</v>
      </c>
      <c r="J321">
        <v>0</v>
      </c>
      <c r="K321">
        <v>0</v>
      </c>
      <c r="L321">
        <v>0</v>
      </c>
      <c r="M321">
        <v>0</v>
      </c>
      <c r="N321">
        <v>0</v>
      </c>
      <c r="O321">
        <v>35</v>
      </c>
      <c r="P321">
        <v>0</v>
      </c>
      <c r="Q321">
        <v>0</v>
      </c>
      <c r="R321">
        <v>0</v>
      </c>
      <c r="S321">
        <v>0</v>
      </c>
      <c r="T321">
        <v>0</v>
      </c>
      <c r="U321">
        <v>0</v>
      </c>
      <c r="V321">
        <v>35</v>
      </c>
      <c r="W321" t="s">
        <v>492</v>
      </c>
      <c r="AK321" t="s">
        <v>777</v>
      </c>
    </row>
    <row r="322" spans="1:37" x14ac:dyDescent="0.25">
      <c r="A322" s="163">
        <v>46183</v>
      </c>
      <c r="B322" s="163">
        <v>46183</v>
      </c>
      <c r="C322">
        <v>3</v>
      </c>
      <c r="D322" t="s">
        <v>86</v>
      </c>
      <c r="E322">
        <v>31562</v>
      </c>
      <c r="G322">
        <v>6</v>
      </c>
      <c r="H322">
        <v>20486709970</v>
      </c>
      <c r="I322" t="s">
        <v>231</v>
      </c>
      <c r="J322">
        <v>0</v>
      </c>
      <c r="K322">
        <v>0</v>
      </c>
      <c r="L322">
        <v>0</v>
      </c>
      <c r="M322">
        <v>0</v>
      </c>
      <c r="N322">
        <v>0</v>
      </c>
      <c r="O322">
        <v>75</v>
      </c>
      <c r="P322">
        <v>0</v>
      </c>
      <c r="Q322">
        <v>0</v>
      </c>
      <c r="R322">
        <v>0</v>
      </c>
      <c r="S322">
        <v>0</v>
      </c>
      <c r="T322">
        <v>0</v>
      </c>
      <c r="U322">
        <v>0</v>
      </c>
      <c r="V322">
        <v>75</v>
      </c>
      <c r="W322" t="s">
        <v>492</v>
      </c>
      <c r="AK322" t="s">
        <v>643</v>
      </c>
    </row>
    <row r="323" spans="1:37" x14ac:dyDescent="0.25">
      <c r="A323" s="163">
        <v>46197</v>
      </c>
      <c r="B323" s="163">
        <v>46197</v>
      </c>
      <c r="C323">
        <v>3</v>
      </c>
      <c r="D323" t="s">
        <v>86</v>
      </c>
      <c r="E323">
        <v>31769</v>
      </c>
      <c r="G323">
        <v>1</v>
      </c>
      <c r="H323">
        <v>19970560</v>
      </c>
      <c r="I323" t="s">
        <v>389</v>
      </c>
      <c r="J323">
        <v>0</v>
      </c>
      <c r="K323">
        <v>0</v>
      </c>
      <c r="L323">
        <v>0</v>
      </c>
      <c r="M323">
        <v>0</v>
      </c>
      <c r="N323">
        <v>0</v>
      </c>
      <c r="O323">
        <v>22.5</v>
      </c>
      <c r="P323">
        <v>0</v>
      </c>
      <c r="Q323">
        <v>0</v>
      </c>
      <c r="R323">
        <v>0</v>
      </c>
      <c r="S323">
        <v>0</v>
      </c>
      <c r="T323">
        <v>0</v>
      </c>
      <c r="U323">
        <v>0</v>
      </c>
      <c r="V323">
        <v>22.5</v>
      </c>
      <c r="W323" t="s">
        <v>492</v>
      </c>
      <c r="AK323" t="s">
        <v>849</v>
      </c>
    </row>
    <row r="324" spans="1:37" x14ac:dyDescent="0.25">
      <c r="A324" s="163">
        <v>46191</v>
      </c>
      <c r="B324" s="163">
        <v>46191</v>
      </c>
      <c r="C324">
        <v>3</v>
      </c>
      <c r="D324" t="s">
        <v>86</v>
      </c>
      <c r="E324">
        <v>31681</v>
      </c>
      <c r="G324">
        <v>1</v>
      </c>
      <c r="H324">
        <v>20894616</v>
      </c>
      <c r="I324" t="s">
        <v>319</v>
      </c>
      <c r="J324">
        <v>0</v>
      </c>
      <c r="K324">
        <v>0</v>
      </c>
      <c r="L324">
        <v>0</v>
      </c>
      <c r="M324">
        <v>0</v>
      </c>
      <c r="N324">
        <v>0</v>
      </c>
      <c r="O324">
        <v>20</v>
      </c>
      <c r="P324">
        <v>0</v>
      </c>
      <c r="Q324">
        <v>0</v>
      </c>
      <c r="R324">
        <v>0</v>
      </c>
      <c r="S324">
        <v>0</v>
      </c>
      <c r="T324">
        <v>0</v>
      </c>
      <c r="U324">
        <v>0</v>
      </c>
      <c r="V324">
        <v>20</v>
      </c>
      <c r="W324" t="s">
        <v>492</v>
      </c>
      <c r="AK324" t="s">
        <v>760</v>
      </c>
    </row>
    <row r="325" spans="1:37" x14ac:dyDescent="0.25">
      <c r="A325" s="163">
        <v>46182</v>
      </c>
      <c r="B325" s="163">
        <v>46182</v>
      </c>
      <c r="C325">
        <v>3</v>
      </c>
      <c r="D325" t="s">
        <v>86</v>
      </c>
      <c r="E325">
        <v>31544</v>
      </c>
      <c r="G325">
        <v>6</v>
      </c>
      <c r="H325">
        <v>20568502443</v>
      </c>
      <c r="I325" t="s">
        <v>216</v>
      </c>
      <c r="J325">
        <v>0</v>
      </c>
      <c r="K325">
        <v>0</v>
      </c>
      <c r="L325">
        <v>0</v>
      </c>
      <c r="M325">
        <v>0</v>
      </c>
      <c r="N325">
        <v>0</v>
      </c>
      <c r="O325">
        <v>33.1</v>
      </c>
      <c r="P325">
        <v>0</v>
      </c>
      <c r="Q325">
        <v>0</v>
      </c>
      <c r="R325">
        <v>0</v>
      </c>
      <c r="S325">
        <v>0</v>
      </c>
      <c r="T325">
        <v>0</v>
      </c>
      <c r="U325">
        <v>0</v>
      </c>
      <c r="V325">
        <v>33.1</v>
      </c>
      <c r="W325" t="s">
        <v>492</v>
      </c>
      <c r="AK325" t="s">
        <v>626</v>
      </c>
    </row>
    <row r="326" spans="1:37" x14ac:dyDescent="0.25">
      <c r="A326" s="163">
        <v>46199</v>
      </c>
      <c r="B326" s="163">
        <v>46199</v>
      </c>
      <c r="C326">
        <v>3</v>
      </c>
      <c r="D326" t="s">
        <v>86</v>
      </c>
      <c r="E326">
        <v>31793</v>
      </c>
      <c r="G326">
        <v>6</v>
      </c>
      <c r="H326">
        <v>20568173016</v>
      </c>
      <c r="I326" t="s">
        <v>116</v>
      </c>
      <c r="J326">
        <v>0</v>
      </c>
      <c r="K326">
        <v>0</v>
      </c>
      <c r="L326">
        <v>0</v>
      </c>
      <c r="M326">
        <v>0</v>
      </c>
      <c r="N326">
        <v>0</v>
      </c>
      <c r="O326">
        <v>20</v>
      </c>
      <c r="P326">
        <v>0</v>
      </c>
      <c r="Q326">
        <v>0</v>
      </c>
      <c r="R326">
        <v>0</v>
      </c>
      <c r="S326">
        <v>0</v>
      </c>
      <c r="T326">
        <v>0</v>
      </c>
      <c r="U326">
        <v>0</v>
      </c>
      <c r="V326">
        <v>20</v>
      </c>
      <c r="W326" t="s">
        <v>492</v>
      </c>
      <c r="AK326" t="s">
        <v>873</v>
      </c>
    </row>
    <row r="327" spans="1:37" x14ac:dyDescent="0.25">
      <c r="A327" s="163">
        <v>46178</v>
      </c>
      <c r="B327" s="163">
        <v>46178</v>
      </c>
      <c r="C327">
        <v>3</v>
      </c>
      <c r="D327" t="s">
        <v>86</v>
      </c>
      <c r="E327">
        <v>31496</v>
      </c>
      <c r="G327">
        <v>1</v>
      </c>
      <c r="H327">
        <v>42744203</v>
      </c>
      <c r="I327" t="s">
        <v>171</v>
      </c>
      <c r="J327">
        <v>0</v>
      </c>
      <c r="K327">
        <v>0</v>
      </c>
      <c r="L327">
        <v>0</v>
      </c>
      <c r="M327">
        <v>0</v>
      </c>
      <c r="N327">
        <v>0</v>
      </c>
      <c r="O327">
        <v>10</v>
      </c>
      <c r="P327">
        <v>0</v>
      </c>
      <c r="Q327">
        <v>0</v>
      </c>
      <c r="R327">
        <v>0</v>
      </c>
      <c r="S327">
        <v>0</v>
      </c>
      <c r="T327">
        <v>0</v>
      </c>
      <c r="U327">
        <v>0</v>
      </c>
      <c r="V327">
        <v>10</v>
      </c>
      <c r="W327" t="s">
        <v>492</v>
      </c>
      <c r="AK327" t="s">
        <v>579</v>
      </c>
    </row>
    <row r="328" spans="1:37" x14ac:dyDescent="0.25">
      <c r="A328" s="163">
        <v>46177</v>
      </c>
      <c r="B328" s="163">
        <v>46177</v>
      </c>
      <c r="C328">
        <v>3</v>
      </c>
      <c r="D328" t="s">
        <v>86</v>
      </c>
      <c r="E328">
        <v>31483</v>
      </c>
      <c r="G328">
        <v>1</v>
      </c>
      <c r="H328">
        <v>19895060</v>
      </c>
      <c r="I328" t="s">
        <v>159</v>
      </c>
      <c r="J328">
        <v>0</v>
      </c>
      <c r="K328">
        <v>0</v>
      </c>
      <c r="L328">
        <v>0</v>
      </c>
      <c r="M328">
        <v>0</v>
      </c>
      <c r="N328">
        <v>0</v>
      </c>
      <c r="O328">
        <v>10</v>
      </c>
      <c r="P328">
        <v>0</v>
      </c>
      <c r="Q328">
        <v>0</v>
      </c>
      <c r="R328">
        <v>0</v>
      </c>
      <c r="S328">
        <v>0</v>
      </c>
      <c r="T328">
        <v>0</v>
      </c>
      <c r="U328">
        <v>0</v>
      </c>
      <c r="V328">
        <v>10</v>
      </c>
      <c r="W328" t="s">
        <v>492</v>
      </c>
      <c r="AK328" t="s">
        <v>565</v>
      </c>
    </row>
    <row r="329" spans="1:37" x14ac:dyDescent="0.25">
      <c r="A329" s="163">
        <v>46183</v>
      </c>
      <c r="B329" s="163">
        <v>46183</v>
      </c>
      <c r="C329">
        <v>3</v>
      </c>
      <c r="D329" t="s">
        <v>86</v>
      </c>
      <c r="E329">
        <v>31566</v>
      </c>
      <c r="G329">
        <v>1</v>
      </c>
      <c r="H329">
        <v>19936260</v>
      </c>
      <c r="I329" t="s">
        <v>234</v>
      </c>
      <c r="J329">
        <v>0</v>
      </c>
      <c r="K329">
        <v>0</v>
      </c>
      <c r="L329">
        <v>0</v>
      </c>
      <c r="M329">
        <v>0</v>
      </c>
      <c r="N329">
        <v>0</v>
      </c>
      <c r="O329">
        <v>60</v>
      </c>
      <c r="P329">
        <v>0</v>
      </c>
      <c r="Q329">
        <v>0</v>
      </c>
      <c r="R329">
        <v>0</v>
      </c>
      <c r="S329">
        <v>0</v>
      </c>
      <c r="T329">
        <v>0</v>
      </c>
      <c r="U329">
        <v>0</v>
      </c>
      <c r="V329">
        <v>60</v>
      </c>
      <c r="W329" t="s">
        <v>492</v>
      </c>
      <c r="AK329" t="s">
        <v>647</v>
      </c>
    </row>
    <row r="330" spans="1:37" x14ac:dyDescent="0.25">
      <c r="A330" s="163">
        <v>46191</v>
      </c>
      <c r="B330" s="163">
        <v>46191</v>
      </c>
      <c r="C330">
        <v>3</v>
      </c>
      <c r="D330" t="s">
        <v>86</v>
      </c>
      <c r="E330">
        <v>31682</v>
      </c>
      <c r="G330">
        <v>1</v>
      </c>
      <c r="H330">
        <v>45004051</v>
      </c>
      <c r="I330" t="s">
        <v>320</v>
      </c>
      <c r="J330">
        <v>0</v>
      </c>
      <c r="K330">
        <v>0</v>
      </c>
      <c r="L330">
        <v>0</v>
      </c>
      <c r="M330">
        <v>0</v>
      </c>
      <c r="N330">
        <v>0</v>
      </c>
      <c r="O330">
        <v>50</v>
      </c>
      <c r="P330">
        <v>0</v>
      </c>
      <c r="Q330">
        <v>0</v>
      </c>
      <c r="R330">
        <v>0</v>
      </c>
      <c r="S330">
        <v>0</v>
      </c>
      <c r="T330">
        <v>0</v>
      </c>
      <c r="U330">
        <v>0</v>
      </c>
      <c r="V330">
        <v>50</v>
      </c>
      <c r="W330" t="s">
        <v>492</v>
      </c>
      <c r="AK330" t="s">
        <v>761</v>
      </c>
    </row>
    <row r="331" spans="1:37" x14ac:dyDescent="0.25">
      <c r="A331" s="163">
        <v>46189</v>
      </c>
      <c r="B331" s="163">
        <v>46189</v>
      </c>
      <c r="C331">
        <v>3</v>
      </c>
      <c r="D331" t="s">
        <v>86</v>
      </c>
      <c r="E331">
        <v>31650</v>
      </c>
      <c r="G331">
        <v>1</v>
      </c>
      <c r="H331">
        <v>45333896</v>
      </c>
      <c r="I331" t="s">
        <v>300</v>
      </c>
      <c r="J331">
        <v>0</v>
      </c>
      <c r="K331">
        <v>0</v>
      </c>
      <c r="L331">
        <v>0</v>
      </c>
      <c r="M331">
        <v>0</v>
      </c>
      <c r="N331">
        <v>0</v>
      </c>
      <c r="O331">
        <v>6</v>
      </c>
      <c r="P331">
        <v>0</v>
      </c>
      <c r="Q331">
        <v>0</v>
      </c>
      <c r="R331">
        <v>0</v>
      </c>
      <c r="S331">
        <v>0</v>
      </c>
      <c r="T331">
        <v>0</v>
      </c>
      <c r="U331">
        <v>0</v>
      </c>
      <c r="V331">
        <v>6</v>
      </c>
      <c r="W331" t="s">
        <v>492</v>
      </c>
      <c r="AK331" t="s">
        <v>729</v>
      </c>
    </row>
    <row r="332" spans="1:37" x14ac:dyDescent="0.25">
      <c r="A332" s="163">
        <v>46203</v>
      </c>
      <c r="B332" s="163">
        <v>46203</v>
      </c>
      <c r="C332">
        <v>3</v>
      </c>
      <c r="D332" t="s">
        <v>86</v>
      </c>
      <c r="E332">
        <v>31840</v>
      </c>
      <c r="G332">
        <v>1</v>
      </c>
      <c r="H332">
        <v>20093202</v>
      </c>
      <c r="I332" t="s">
        <v>448</v>
      </c>
      <c r="J332">
        <v>0</v>
      </c>
      <c r="K332">
        <v>0</v>
      </c>
      <c r="L332">
        <v>0</v>
      </c>
      <c r="M332">
        <v>0</v>
      </c>
      <c r="N332">
        <v>0</v>
      </c>
      <c r="O332">
        <v>32.1</v>
      </c>
      <c r="P332">
        <v>0</v>
      </c>
      <c r="Q332">
        <v>0</v>
      </c>
      <c r="R332">
        <v>0</v>
      </c>
      <c r="S332">
        <v>0</v>
      </c>
      <c r="T332">
        <v>0</v>
      </c>
      <c r="U332">
        <v>0</v>
      </c>
      <c r="V332">
        <v>32.1</v>
      </c>
      <c r="W332" t="s">
        <v>492</v>
      </c>
      <c r="AK332" t="s">
        <v>919</v>
      </c>
    </row>
    <row r="333" spans="1:37" x14ac:dyDescent="0.25">
      <c r="A333" s="163">
        <v>46203</v>
      </c>
      <c r="B333" s="163">
        <v>46203</v>
      </c>
      <c r="C333">
        <v>3</v>
      </c>
      <c r="D333" t="s">
        <v>86</v>
      </c>
      <c r="E333">
        <v>31844</v>
      </c>
      <c r="G333">
        <v>1</v>
      </c>
      <c r="H333">
        <v>47822380</v>
      </c>
      <c r="I333" t="s">
        <v>452</v>
      </c>
      <c r="J333">
        <v>0</v>
      </c>
      <c r="K333">
        <v>0</v>
      </c>
      <c r="L333">
        <v>0</v>
      </c>
      <c r="M333">
        <v>0</v>
      </c>
      <c r="N333">
        <v>0</v>
      </c>
      <c r="O333">
        <v>10</v>
      </c>
      <c r="P333">
        <v>0</v>
      </c>
      <c r="Q333">
        <v>0</v>
      </c>
      <c r="R333">
        <v>0</v>
      </c>
      <c r="S333">
        <v>0</v>
      </c>
      <c r="T333">
        <v>0</v>
      </c>
      <c r="U333">
        <v>0</v>
      </c>
      <c r="V333">
        <v>10</v>
      </c>
      <c r="W333" t="s">
        <v>492</v>
      </c>
      <c r="AK333" t="s">
        <v>923</v>
      </c>
    </row>
    <row r="334" spans="1:37" x14ac:dyDescent="0.25">
      <c r="A334" s="163">
        <v>46197</v>
      </c>
      <c r="B334" s="163">
        <v>46197</v>
      </c>
      <c r="C334">
        <v>3</v>
      </c>
      <c r="D334" t="s">
        <v>86</v>
      </c>
      <c r="E334">
        <v>31758</v>
      </c>
      <c r="G334">
        <v>1</v>
      </c>
      <c r="H334">
        <v>46877424</v>
      </c>
      <c r="I334" t="s">
        <v>380</v>
      </c>
      <c r="J334">
        <v>0</v>
      </c>
      <c r="K334">
        <v>0</v>
      </c>
      <c r="L334">
        <v>0</v>
      </c>
      <c r="M334">
        <v>0</v>
      </c>
      <c r="N334">
        <v>0</v>
      </c>
      <c r="O334">
        <v>124.9</v>
      </c>
      <c r="P334">
        <v>0</v>
      </c>
      <c r="Q334">
        <v>0</v>
      </c>
      <c r="R334">
        <v>0</v>
      </c>
      <c r="S334">
        <v>0</v>
      </c>
      <c r="T334">
        <v>0</v>
      </c>
      <c r="U334">
        <v>0</v>
      </c>
      <c r="V334">
        <v>124.9</v>
      </c>
      <c r="W334" t="s">
        <v>492</v>
      </c>
      <c r="AK334" t="s">
        <v>839</v>
      </c>
    </row>
    <row r="335" spans="1:37" x14ac:dyDescent="0.25">
      <c r="A335" s="163">
        <v>46203</v>
      </c>
      <c r="B335" s="163">
        <v>46203</v>
      </c>
      <c r="C335">
        <v>3</v>
      </c>
      <c r="D335" t="s">
        <v>86</v>
      </c>
      <c r="E335">
        <v>31843</v>
      </c>
      <c r="G335">
        <v>1</v>
      </c>
      <c r="H335">
        <v>20047067</v>
      </c>
      <c r="I335" t="s">
        <v>451</v>
      </c>
      <c r="J335">
        <v>0</v>
      </c>
      <c r="K335">
        <v>0</v>
      </c>
      <c r="L335">
        <v>0</v>
      </c>
      <c r="M335">
        <v>0</v>
      </c>
      <c r="N335">
        <v>0</v>
      </c>
      <c r="O335">
        <v>33</v>
      </c>
      <c r="P335">
        <v>0</v>
      </c>
      <c r="Q335">
        <v>0</v>
      </c>
      <c r="R335">
        <v>0</v>
      </c>
      <c r="S335">
        <v>0</v>
      </c>
      <c r="T335">
        <v>0</v>
      </c>
      <c r="U335">
        <v>0</v>
      </c>
      <c r="V335">
        <v>33</v>
      </c>
      <c r="W335" t="s">
        <v>492</v>
      </c>
      <c r="AK335" t="s">
        <v>922</v>
      </c>
    </row>
    <row r="336" spans="1:37" x14ac:dyDescent="0.25">
      <c r="A336" s="163">
        <v>46196</v>
      </c>
      <c r="B336" s="163">
        <v>46196</v>
      </c>
      <c r="C336">
        <v>3</v>
      </c>
      <c r="D336" t="s">
        <v>86</v>
      </c>
      <c r="E336">
        <v>31741</v>
      </c>
      <c r="G336">
        <v>1</v>
      </c>
      <c r="H336">
        <v>46203688</v>
      </c>
      <c r="I336" t="s">
        <v>365</v>
      </c>
      <c r="J336">
        <v>0</v>
      </c>
      <c r="K336">
        <v>0</v>
      </c>
      <c r="L336">
        <v>0</v>
      </c>
      <c r="M336">
        <v>0</v>
      </c>
      <c r="N336">
        <v>0</v>
      </c>
      <c r="O336">
        <v>10</v>
      </c>
      <c r="P336">
        <v>0</v>
      </c>
      <c r="Q336">
        <v>0</v>
      </c>
      <c r="R336">
        <v>0</v>
      </c>
      <c r="S336">
        <v>0</v>
      </c>
      <c r="T336">
        <v>0</v>
      </c>
      <c r="U336">
        <v>0</v>
      </c>
      <c r="V336">
        <v>10</v>
      </c>
      <c r="W336" t="s">
        <v>492</v>
      </c>
      <c r="AK336" t="s">
        <v>821</v>
      </c>
    </row>
    <row r="337" spans="1:37" x14ac:dyDescent="0.25">
      <c r="A337" s="163">
        <v>46198</v>
      </c>
      <c r="B337" s="163">
        <v>46198</v>
      </c>
      <c r="C337">
        <v>3</v>
      </c>
      <c r="D337" t="s">
        <v>86</v>
      </c>
      <c r="E337">
        <v>31785</v>
      </c>
      <c r="G337">
        <v>1</v>
      </c>
      <c r="H337">
        <v>41320724</v>
      </c>
      <c r="I337" t="s">
        <v>403</v>
      </c>
      <c r="J337">
        <v>0</v>
      </c>
      <c r="K337">
        <v>0</v>
      </c>
      <c r="L337">
        <v>0</v>
      </c>
      <c r="M337">
        <v>0</v>
      </c>
      <c r="N337">
        <v>0</v>
      </c>
      <c r="O337">
        <v>32.5</v>
      </c>
      <c r="P337">
        <v>0</v>
      </c>
      <c r="Q337">
        <v>0</v>
      </c>
      <c r="R337">
        <v>0</v>
      </c>
      <c r="S337">
        <v>0</v>
      </c>
      <c r="T337">
        <v>0</v>
      </c>
      <c r="U337">
        <v>0</v>
      </c>
      <c r="V337">
        <v>32.5</v>
      </c>
      <c r="W337" t="s">
        <v>492</v>
      </c>
      <c r="AK337" t="s">
        <v>865</v>
      </c>
    </row>
    <row r="338" spans="1:37" x14ac:dyDescent="0.25">
      <c r="A338" s="163">
        <v>46192</v>
      </c>
      <c r="B338" s="163">
        <v>46192</v>
      </c>
      <c r="C338">
        <v>3</v>
      </c>
      <c r="D338" t="s">
        <v>86</v>
      </c>
      <c r="E338">
        <v>31697</v>
      </c>
      <c r="G338">
        <v>1</v>
      </c>
      <c r="H338">
        <v>40367218</v>
      </c>
      <c r="I338" t="s">
        <v>334</v>
      </c>
      <c r="J338">
        <v>0</v>
      </c>
      <c r="K338">
        <v>0</v>
      </c>
      <c r="L338">
        <v>0</v>
      </c>
      <c r="M338">
        <v>0</v>
      </c>
      <c r="N338">
        <v>0</v>
      </c>
      <c r="O338">
        <v>100</v>
      </c>
      <c r="P338">
        <v>0</v>
      </c>
      <c r="Q338">
        <v>0</v>
      </c>
      <c r="R338">
        <v>0</v>
      </c>
      <c r="S338">
        <v>0</v>
      </c>
      <c r="T338">
        <v>0</v>
      </c>
      <c r="U338">
        <v>0</v>
      </c>
      <c r="V338">
        <v>100</v>
      </c>
      <c r="W338" t="s">
        <v>492</v>
      </c>
      <c r="AK338" t="s">
        <v>776</v>
      </c>
    </row>
    <row r="339" spans="1:37" x14ac:dyDescent="0.25">
      <c r="A339" s="163">
        <v>46185</v>
      </c>
      <c r="B339" s="163">
        <v>46185</v>
      </c>
      <c r="C339">
        <v>3</v>
      </c>
      <c r="D339" t="s">
        <v>86</v>
      </c>
      <c r="E339">
        <v>31599</v>
      </c>
      <c r="G339">
        <v>1</v>
      </c>
      <c r="H339">
        <v>71140282</v>
      </c>
      <c r="I339" t="s">
        <v>261</v>
      </c>
      <c r="J339">
        <v>0</v>
      </c>
      <c r="K339">
        <v>0</v>
      </c>
      <c r="L339">
        <v>0</v>
      </c>
      <c r="M339">
        <v>0</v>
      </c>
      <c r="N339">
        <v>0</v>
      </c>
      <c r="O339">
        <v>49</v>
      </c>
      <c r="P339">
        <v>0</v>
      </c>
      <c r="Q339">
        <v>0</v>
      </c>
      <c r="R339">
        <v>0</v>
      </c>
      <c r="S339">
        <v>0</v>
      </c>
      <c r="T339">
        <v>0</v>
      </c>
      <c r="U339">
        <v>0</v>
      </c>
      <c r="V339">
        <v>49</v>
      </c>
      <c r="W339" t="s">
        <v>492</v>
      </c>
      <c r="AK339" t="s">
        <v>678</v>
      </c>
    </row>
    <row r="340" spans="1:37" x14ac:dyDescent="0.25">
      <c r="A340" s="163">
        <v>46189</v>
      </c>
      <c r="B340" s="163">
        <v>46189</v>
      </c>
      <c r="C340">
        <v>3</v>
      </c>
      <c r="D340" t="s">
        <v>86</v>
      </c>
      <c r="E340">
        <v>31646</v>
      </c>
      <c r="G340">
        <v>1</v>
      </c>
      <c r="H340">
        <v>20642810</v>
      </c>
      <c r="I340" t="s">
        <v>296</v>
      </c>
      <c r="J340">
        <v>0</v>
      </c>
      <c r="K340">
        <v>0</v>
      </c>
      <c r="L340">
        <v>0</v>
      </c>
      <c r="M340">
        <v>0</v>
      </c>
      <c r="N340">
        <v>0</v>
      </c>
      <c r="O340">
        <v>176</v>
      </c>
      <c r="P340">
        <v>0</v>
      </c>
      <c r="Q340">
        <v>0</v>
      </c>
      <c r="R340">
        <v>0</v>
      </c>
      <c r="S340">
        <v>0</v>
      </c>
      <c r="T340">
        <v>0</v>
      </c>
      <c r="U340">
        <v>0</v>
      </c>
      <c r="V340">
        <v>176</v>
      </c>
      <c r="W340" t="s">
        <v>492</v>
      </c>
      <c r="AK340" t="s">
        <v>725</v>
      </c>
    </row>
    <row r="341" spans="1:37" x14ac:dyDescent="0.25">
      <c r="A341" s="163">
        <v>46183</v>
      </c>
      <c r="B341" s="163">
        <v>46183</v>
      </c>
      <c r="C341">
        <v>3</v>
      </c>
      <c r="D341" t="s">
        <v>86</v>
      </c>
      <c r="E341">
        <v>31561</v>
      </c>
      <c r="G341">
        <v>1</v>
      </c>
      <c r="H341">
        <v>21266173</v>
      </c>
      <c r="I341" t="s">
        <v>962</v>
      </c>
      <c r="J341">
        <v>0</v>
      </c>
      <c r="K341">
        <v>0</v>
      </c>
      <c r="L341">
        <v>0</v>
      </c>
      <c r="M341">
        <v>0</v>
      </c>
      <c r="N341">
        <v>0</v>
      </c>
      <c r="O341">
        <v>138</v>
      </c>
      <c r="P341">
        <v>0</v>
      </c>
      <c r="Q341">
        <v>0</v>
      </c>
      <c r="R341">
        <v>0</v>
      </c>
      <c r="S341">
        <v>0</v>
      </c>
      <c r="T341">
        <v>0</v>
      </c>
      <c r="U341">
        <v>0</v>
      </c>
      <c r="V341">
        <v>138</v>
      </c>
      <c r="W341" t="s">
        <v>492</v>
      </c>
      <c r="AK341" t="s">
        <v>642</v>
      </c>
    </row>
    <row r="342" spans="1:37" x14ac:dyDescent="0.25">
      <c r="A342" s="163">
        <v>46189</v>
      </c>
      <c r="B342" s="163">
        <v>46189</v>
      </c>
      <c r="C342">
        <v>3</v>
      </c>
      <c r="D342" t="s">
        <v>86</v>
      </c>
      <c r="E342">
        <v>31644</v>
      </c>
      <c r="G342">
        <v>1</v>
      </c>
      <c r="H342">
        <v>23279567</v>
      </c>
      <c r="I342" t="s">
        <v>294</v>
      </c>
      <c r="J342">
        <v>0</v>
      </c>
      <c r="K342">
        <v>0</v>
      </c>
      <c r="L342">
        <v>0</v>
      </c>
      <c r="M342">
        <v>0</v>
      </c>
      <c r="N342">
        <v>0</v>
      </c>
      <c r="O342">
        <v>54.7</v>
      </c>
      <c r="P342">
        <v>0</v>
      </c>
      <c r="Q342">
        <v>0</v>
      </c>
      <c r="R342">
        <v>0</v>
      </c>
      <c r="S342">
        <v>0</v>
      </c>
      <c r="T342">
        <v>0</v>
      </c>
      <c r="U342">
        <v>0</v>
      </c>
      <c r="V342">
        <v>54.7</v>
      </c>
      <c r="W342" t="s">
        <v>492</v>
      </c>
      <c r="AK342" t="s">
        <v>723</v>
      </c>
    </row>
    <row r="343" spans="1:37" x14ac:dyDescent="0.25">
      <c r="A343" s="163">
        <v>46186</v>
      </c>
      <c r="B343" s="163">
        <v>46186</v>
      </c>
      <c r="C343">
        <v>3</v>
      </c>
      <c r="D343" t="s">
        <v>86</v>
      </c>
      <c r="E343">
        <v>31603</v>
      </c>
      <c r="G343">
        <v>6</v>
      </c>
      <c r="H343">
        <v>20518164717</v>
      </c>
      <c r="I343" t="s">
        <v>118</v>
      </c>
      <c r="J343">
        <v>0</v>
      </c>
      <c r="K343">
        <v>0</v>
      </c>
      <c r="L343">
        <v>0</v>
      </c>
      <c r="M343">
        <v>0</v>
      </c>
      <c r="N343">
        <v>0</v>
      </c>
      <c r="O343">
        <v>12.2</v>
      </c>
      <c r="P343">
        <v>0</v>
      </c>
      <c r="Q343">
        <v>0</v>
      </c>
      <c r="R343">
        <v>0</v>
      </c>
      <c r="S343">
        <v>0</v>
      </c>
      <c r="T343">
        <v>0</v>
      </c>
      <c r="U343">
        <v>0</v>
      </c>
      <c r="V343">
        <v>12.2</v>
      </c>
      <c r="W343" t="s">
        <v>492</v>
      </c>
      <c r="AK343" t="s">
        <v>682</v>
      </c>
    </row>
    <row r="344" spans="1:37" x14ac:dyDescent="0.25">
      <c r="A344" s="163">
        <v>46178</v>
      </c>
      <c r="B344" s="163">
        <v>46178</v>
      </c>
      <c r="C344">
        <v>3</v>
      </c>
      <c r="D344" t="s">
        <v>86</v>
      </c>
      <c r="E344">
        <v>31498</v>
      </c>
      <c r="G344">
        <v>1</v>
      </c>
      <c r="H344">
        <v>20433693</v>
      </c>
      <c r="I344" t="s">
        <v>173</v>
      </c>
      <c r="J344">
        <v>0</v>
      </c>
      <c r="K344">
        <v>0</v>
      </c>
      <c r="L344">
        <v>0</v>
      </c>
      <c r="M344">
        <v>0</v>
      </c>
      <c r="N344">
        <v>0</v>
      </c>
      <c r="O344">
        <v>35</v>
      </c>
      <c r="P344">
        <v>0</v>
      </c>
      <c r="Q344">
        <v>0</v>
      </c>
      <c r="R344">
        <v>0</v>
      </c>
      <c r="S344">
        <v>0</v>
      </c>
      <c r="T344">
        <v>0</v>
      </c>
      <c r="U344">
        <v>0</v>
      </c>
      <c r="V344">
        <v>35</v>
      </c>
      <c r="W344" t="s">
        <v>492</v>
      </c>
      <c r="AK344" t="s">
        <v>581</v>
      </c>
    </row>
    <row r="345" spans="1:37" x14ac:dyDescent="0.25">
      <c r="A345" s="163">
        <v>46176</v>
      </c>
      <c r="B345" s="163">
        <v>46176</v>
      </c>
      <c r="C345">
        <v>3</v>
      </c>
      <c r="D345" t="s">
        <v>86</v>
      </c>
      <c r="E345">
        <v>31460</v>
      </c>
      <c r="G345">
        <v>1</v>
      </c>
      <c r="H345">
        <v>46507941</v>
      </c>
      <c r="I345" t="s">
        <v>141</v>
      </c>
      <c r="J345">
        <v>0</v>
      </c>
      <c r="K345">
        <v>0</v>
      </c>
      <c r="L345">
        <v>0</v>
      </c>
      <c r="M345">
        <v>0</v>
      </c>
      <c r="N345">
        <v>0</v>
      </c>
      <c r="O345">
        <v>9.9</v>
      </c>
      <c r="P345">
        <v>0</v>
      </c>
      <c r="Q345">
        <v>0</v>
      </c>
      <c r="R345">
        <v>0</v>
      </c>
      <c r="S345">
        <v>0</v>
      </c>
      <c r="T345">
        <v>0</v>
      </c>
      <c r="U345">
        <v>0</v>
      </c>
      <c r="V345">
        <v>9.9</v>
      </c>
      <c r="W345" t="s">
        <v>492</v>
      </c>
      <c r="AK345" t="s">
        <v>545</v>
      </c>
    </row>
    <row r="346" spans="1:37" x14ac:dyDescent="0.25">
      <c r="A346" s="163">
        <v>46183</v>
      </c>
      <c r="B346" s="163">
        <v>46183</v>
      </c>
      <c r="C346">
        <v>3</v>
      </c>
      <c r="D346" t="s">
        <v>86</v>
      </c>
      <c r="E346">
        <v>31565</v>
      </c>
      <c r="G346">
        <v>1</v>
      </c>
      <c r="H346">
        <v>77078474</v>
      </c>
      <c r="I346" t="s">
        <v>233</v>
      </c>
      <c r="J346">
        <v>0</v>
      </c>
      <c r="K346">
        <v>0</v>
      </c>
      <c r="L346">
        <v>0</v>
      </c>
      <c r="M346">
        <v>0</v>
      </c>
      <c r="N346">
        <v>0</v>
      </c>
      <c r="O346">
        <v>131.69999999999999</v>
      </c>
      <c r="P346">
        <v>0</v>
      </c>
      <c r="Q346">
        <v>0</v>
      </c>
      <c r="R346">
        <v>0</v>
      </c>
      <c r="S346">
        <v>0</v>
      </c>
      <c r="T346">
        <v>0</v>
      </c>
      <c r="U346">
        <v>0</v>
      </c>
      <c r="V346">
        <v>131.69999999999999</v>
      </c>
      <c r="W346" t="s">
        <v>492</v>
      </c>
      <c r="AK346" t="s">
        <v>646</v>
      </c>
    </row>
    <row r="347" spans="1:37" x14ac:dyDescent="0.25">
      <c r="A347" s="163">
        <v>46182</v>
      </c>
      <c r="B347" s="163">
        <v>46182</v>
      </c>
      <c r="C347">
        <v>3</v>
      </c>
      <c r="D347" t="s">
        <v>86</v>
      </c>
      <c r="E347">
        <v>31545</v>
      </c>
      <c r="G347">
        <v>1</v>
      </c>
      <c r="H347">
        <v>19916301</v>
      </c>
      <c r="I347" t="s">
        <v>217</v>
      </c>
      <c r="J347">
        <v>0</v>
      </c>
      <c r="K347">
        <v>0</v>
      </c>
      <c r="L347">
        <v>0</v>
      </c>
      <c r="M347">
        <v>0</v>
      </c>
      <c r="N347">
        <v>0</v>
      </c>
      <c r="O347">
        <v>100</v>
      </c>
      <c r="P347">
        <v>0</v>
      </c>
      <c r="Q347">
        <v>0</v>
      </c>
      <c r="R347">
        <v>0</v>
      </c>
      <c r="S347">
        <v>0</v>
      </c>
      <c r="T347">
        <v>0</v>
      </c>
      <c r="U347">
        <v>0</v>
      </c>
      <c r="V347">
        <v>100</v>
      </c>
      <c r="W347" t="s">
        <v>492</v>
      </c>
      <c r="AK347" t="s">
        <v>627</v>
      </c>
    </row>
    <row r="348" spans="1:37" x14ac:dyDescent="0.25">
      <c r="A348" s="163">
        <v>46178</v>
      </c>
      <c r="B348" s="163">
        <v>46178</v>
      </c>
      <c r="C348">
        <v>3</v>
      </c>
      <c r="D348" t="s">
        <v>86</v>
      </c>
      <c r="E348">
        <v>31492</v>
      </c>
      <c r="G348">
        <v>1</v>
      </c>
      <c r="H348">
        <v>20433159</v>
      </c>
      <c r="I348" t="s">
        <v>168</v>
      </c>
      <c r="J348">
        <v>0</v>
      </c>
      <c r="K348">
        <v>0</v>
      </c>
      <c r="L348">
        <v>0</v>
      </c>
      <c r="M348">
        <v>0</v>
      </c>
      <c r="N348">
        <v>0</v>
      </c>
      <c r="O348">
        <v>15</v>
      </c>
      <c r="P348">
        <v>0</v>
      </c>
      <c r="Q348">
        <v>0</v>
      </c>
      <c r="R348">
        <v>0</v>
      </c>
      <c r="S348">
        <v>0</v>
      </c>
      <c r="T348">
        <v>0</v>
      </c>
      <c r="U348">
        <v>0</v>
      </c>
      <c r="V348">
        <v>15</v>
      </c>
      <c r="W348" t="s">
        <v>492</v>
      </c>
      <c r="AK348" t="s">
        <v>576</v>
      </c>
    </row>
    <row r="349" spans="1:37" x14ac:dyDescent="0.25">
      <c r="A349" s="163">
        <v>46196</v>
      </c>
      <c r="B349" s="163">
        <v>46196</v>
      </c>
      <c r="C349">
        <v>7</v>
      </c>
      <c r="D349" t="s">
        <v>87</v>
      </c>
      <c r="E349">
        <v>160</v>
      </c>
      <c r="G349">
        <v>6</v>
      </c>
      <c r="H349">
        <v>20487125921</v>
      </c>
      <c r="I349" t="s">
        <v>950</v>
      </c>
      <c r="J349">
        <v>0</v>
      </c>
      <c r="K349">
        <v>0</v>
      </c>
      <c r="L349">
        <v>0</v>
      </c>
      <c r="M349">
        <v>0</v>
      </c>
      <c r="N349">
        <v>0</v>
      </c>
      <c r="O349">
        <v>-25</v>
      </c>
      <c r="P349">
        <v>0</v>
      </c>
      <c r="Q349">
        <v>0</v>
      </c>
      <c r="R349">
        <v>0</v>
      </c>
      <c r="S349">
        <v>0</v>
      </c>
      <c r="T349">
        <v>0</v>
      </c>
      <c r="U349">
        <v>0</v>
      </c>
      <c r="V349">
        <v>-25</v>
      </c>
      <c r="W349" t="s">
        <v>492</v>
      </c>
      <c r="Y349" s="163">
        <v>46196</v>
      </c>
      <c r="Z349">
        <v>3</v>
      </c>
      <c r="AA349" t="s">
        <v>86</v>
      </c>
      <c r="AB349">
        <v>31732</v>
      </c>
      <c r="AK349" t="s">
        <v>812</v>
      </c>
    </row>
    <row r="350" spans="1:37" x14ac:dyDescent="0.25">
      <c r="A350" s="163">
        <v>46190</v>
      </c>
      <c r="B350" s="163">
        <v>46190</v>
      </c>
      <c r="C350">
        <v>3</v>
      </c>
      <c r="D350" t="s">
        <v>86</v>
      </c>
      <c r="E350">
        <v>31663</v>
      </c>
      <c r="G350">
        <v>6</v>
      </c>
      <c r="H350">
        <v>20600215079</v>
      </c>
      <c r="I350" t="s">
        <v>104</v>
      </c>
      <c r="J350">
        <v>0</v>
      </c>
      <c r="K350">
        <v>0</v>
      </c>
      <c r="L350">
        <v>0</v>
      </c>
      <c r="M350">
        <v>0</v>
      </c>
      <c r="N350">
        <v>0</v>
      </c>
      <c r="O350">
        <v>150</v>
      </c>
      <c r="P350">
        <v>0</v>
      </c>
      <c r="Q350">
        <v>0</v>
      </c>
      <c r="R350">
        <v>0</v>
      </c>
      <c r="S350">
        <v>0</v>
      </c>
      <c r="T350">
        <v>0</v>
      </c>
      <c r="U350">
        <v>0</v>
      </c>
      <c r="V350">
        <v>150</v>
      </c>
      <c r="W350" t="s">
        <v>492</v>
      </c>
      <c r="AK350" t="s">
        <v>742</v>
      </c>
    </row>
    <row r="351" spans="1:37" x14ac:dyDescent="0.25">
      <c r="A351" s="163">
        <v>46179</v>
      </c>
      <c r="B351" s="163">
        <v>46179</v>
      </c>
      <c r="C351">
        <v>3</v>
      </c>
      <c r="D351" t="s">
        <v>86</v>
      </c>
      <c r="E351">
        <v>31504</v>
      </c>
      <c r="G351">
        <v>6</v>
      </c>
      <c r="H351">
        <v>20612437298</v>
      </c>
      <c r="I351" t="s">
        <v>943</v>
      </c>
      <c r="J351">
        <v>0</v>
      </c>
      <c r="K351">
        <v>0</v>
      </c>
      <c r="L351">
        <v>0</v>
      </c>
      <c r="M351">
        <v>0</v>
      </c>
      <c r="N351">
        <v>0</v>
      </c>
      <c r="O351">
        <v>5.7</v>
      </c>
      <c r="P351">
        <v>0</v>
      </c>
      <c r="Q351">
        <v>0</v>
      </c>
      <c r="R351">
        <v>0</v>
      </c>
      <c r="S351">
        <v>0</v>
      </c>
      <c r="T351">
        <v>0</v>
      </c>
      <c r="U351">
        <v>0</v>
      </c>
      <c r="V351">
        <v>5.7</v>
      </c>
      <c r="W351" t="s">
        <v>492</v>
      </c>
      <c r="AK351" t="s">
        <v>587</v>
      </c>
    </row>
    <row r="352" spans="1:37" x14ac:dyDescent="0.25">
      <c r="A352" s="163">
        <v>46184</v>
      </c>
      <c r="B352" s="163">
        <v>46184</v>
      </c>
      <c r="C352">
        <v>3</v>
      </c>
      <c r="D352" t="s">
        <v>86</v>
      </c>
      <c r="E352">
        <v>31581</v>
      </c>
      <c r="G352">
        <v>6</v>
      </c>
      <c r="H352">
        <v>20518164717</v>
      </c>
      <c r="I352" t="s">
        <v>118</v>
      </c>
      <c r="J352">
        <v>0</v>
      </c>
      <c r="K352">
        <v>0</v>
      </c>
      <c r="L352">
        <v>0</v>
      </c>
      <c r="M352">
        <v>0</v>
      </c>
      <c r="N352">
        <v>0</v>
      </c>
      <c r="O352">
        <v>12.6</v>
      </c>
      <c r="P352">
        <v>0</v>
      </c>
      <c r="Q352">
        <v>0</v>
      </c>
      <c r="R352">
        <v>0</v>
      </c>
      <c r="S352">
        <v>0</v>
      </c>
      <c r="T352">
        <v>0</v>
      </c>
      <c r="U352">
        <v>0</v>
      </c>
      <c r="V352">
        <v>12.6</v>
      </c>
      <c r="W352" t="s">
        <v>492</v>
      </c>
      <c r="AK352" t="s">
        <v>660</v>
      </c>
    </row>
    <row r="353" spans="1:37" x14ac:dyDescent="0.25">
      <c r="A353" s="163">
        <v>46191</v>
      </c>
      <c r="B353" s="163">
        <v>46191</v>
      </c>
      <c r="C353">
        <v>3</v>
      </c>
      <c r="D353" t="s">
        <v>86</v>
      </c>
      <c r="E353">
        <v>31687</v>
      </c>
      <c r="G353">
        <v>1</v>
      </c>
      <c r="H353">
        <v>70140104</v>
      </c>
      <c r="I353" t="s">
        <v>325</v>
      </c>
      <c r="J353">
        <v>0</v>
      </c>
      <c r="K353">
        <v>0</v>
      </c>
      <c r="L353">
        <v>0</v>
      </c>
      <c r="M353">
        <v>0</v>
      </c>
      <c r="N353">
        <v>0</v>
      </c>
      <c r="O353">
        <v>21.4</v>
      </c>
      <c r="P353">
        <v>0</v>
      </c>
      <c r="Q353">
        <v>0</v>
      </c>
      <c r="R353">
        <v>0</v>
      </c>
      <c r="S353">
        <v>0</v>
      </c>
      <c r="T353">
        <v>0</v>
      </c>
      <c r="U353">
        <v>0</v>
      </c>
      <c r="V353">
        <v>21.4</v>
      </c>
      <c r="W353" t="s">
        <v>492</v>
      </c>
      <c r="AK353" t="s">
        <v>766</v>
      </c>
    </row>
    <row r="354" spans="1:37" x14ac:dyDescent="0.25">
      <c r="A354" s="163">
        <v>46192</v>
      </c>
      <c r="B354" s="163">
        <v>46192</v>
      </c>
      <c r="C354">
        <v>3</v>
      </c>
      <c r="D354" t="s">
        <v>86</v>
      </c>
      <c r="E354">
        <v>31700</v>
      </c>
      <c r="G354">
        <v>1</v>
      </c>
      <c r="H354">
        <v>80008255</v>
      </c>
      <c r="I354" t="s">
        <v>337</v>
      </c>
      <c r="J354">
        <v>0</v>
      </c>
      <c r="K354">
        <v>0</v>
      </c>
      <c r="L354">
        <v>0</v>
      </c>
      <c r="M354">
        <v>0</v>
      </c>
      <c r="N354">
        <v>0</v>
      </c>
      <c r="O354">
        <v>63.5</v>
      </c>
      <c r="P354">
        <v>0</v>
      </c>
      <c r="Q354">
        <v>0</v>
      </c>
      <c r="R354">
        <v>0</v>
      </c>
      <c r="S354">
        <v>0</v>
      </c>
      <c r="T354">
        <v>0</v>
      </c>
      <c r="U354">
        <v>0</v>
      </c>
      <c r="V354">
        <v>63.5</v>
      </c>
      <c r="W354" t="s">
        <v>492</v>
      </c>
      <c r="AK354" t="s">
        <v>779</v>
      </c>
    </row>
    <row r="355" spans="1:37" x14ac:dyDescent="0.25">
      <c r="A355" s="163">
        <v>46198</v>
      </c>
      <c r="B355" s="163">
        <v>46198</v>
      </c>
      <c r="C355">
        <v>3</v>
      </c>
      <c r="D355" t="s">
        <v>86</v>
      </c>
      <c r="E355">
        <v>31775</v>
      </c>
      <c r="G355">
        <v>1</v>
      </c>
      <c r="H355">
        <v>41973046</v>
      </c>
      <c r="I355" t="s">
        <v>393</v>
      </c>
      <c r="J355">
        <v>0</v>
      </c>
      <c r="K355">
        <v>0</v>
      </c>
      <c r="L355">
        <v>0</v>
      </c>
      <c r="M355">
        <v>0</v>
      </c>
      <c r="N355">
        <v>0</v>
      </c>
      <c r="O355">
        <v>65.2</v>
      </c>
      <c r="P355">
        <v>0</v>
      </c>
      <c r="Q355">
        <v>0</v>
      </c>
      <c r="R355">
        <v>0</v>
      </c>
      <c r="S355">
        <v>0</v>
      </c>
      <c r="T355">
        <v>0</v>
      </c>
      <c r="U355">
        <v>0</v>
      </c>
      <c r="V355">
        <v>65.2</v>
      </c>
      <c r="W355" t="s">
        <v>492</v>
      </c>
      <c r="AK355" t="s">
        <v>856</v>
      </c>
    </row>
    <row r="356" spans="1:37" x14ac:dyDescent="0.25">
      <c r="A356" s="163">
        <v>46203</v>
      </c>
      <c r="B356" s="163">
        <v>46203</v>
      </c>
      <c r="C356">
        <v>3</v>
      </c>
      <c r="D356" t="s">
        <v>86</v>
      </c>
      <c r="E356">
        <v>31842</v>
      </c>
      <c r="G356">
        <v>1</v>
      </c>
      <c r="H356">
        <v>70791744</v>
      </c>
      <c r="I356" t="s">
        <v>450</v>
      </c>
      <c r="J356">
        <v>0</v>
      </c>
      <c r="K356">
        <v>0</v>
      </c>
      <c r="L356">
        <v>0</v>
      </c>
      <c r="M356">
        <v>0</v>
      </c>
      <c r="N356">
        <v>0</v>
      </c>
      <c r="O356">
        <v>10</v>
      </c>
      <c r="P356">
        <v>0</v>
      </c>
      <c r="Q356">
        <v>0</v>
      </c>
      <c r="R356">
        <v>0</v>
      </c>
      <c r="S356">
        <v>0</v>
      </c>
      <c r="T356">
        <v>0</v>
      </c>
      <c r="U356">
        <v>0</v>
      </c>
      <c r="V356">
        <v>10</v>
      </c>
      <c r="W356" t="s">
        <v>492</v>
      </c>
      <c r="AK356" t="s">
        <v>921</v>
      </c>
    </row>
    <row r="357" spans="1:37" x14ac:dyDescent="0.25">
      <c r="A357" s="163">
        <v>46181</v>
      </c>
      <c r="B357" s="163">
        <v>46181</v>
      </c>
      <c r="C357">
        <v>3</v>
      </c>
      <c r="D357" t="s">
        <v>86</v>
      </c>
      <c r="E357">
        <v>31540</v>
      </c>
      <c r="G357">
        <v>1</v>
      </c>
      <c r="H357">
        <v>20432091</v>
      </c>
      <c r="I357" t="s">
        <v>213</v>
      </c>
      <c r="J357">
        <v>0</v>
      </c>
      <c r="K357">
        <v>0</v>
      </c>
      <c r="L357">
        <v>0</v>
      </c>
      <c r="M357">
        <v>0</v>
      </c>
      <c r="N357">
        <v>0</v>
      </c>
      <c r="O357">
        <v>5</v>
      </c>
      <c r="P357">
        <v>0</v>
      </c>
      <c r="Q357">
        <v>0</v>
      </c>
      <c r="R357">
        <v>0</v>
      </c>
      <c r="S357">
        <v>0</v>
      </c>
      <c r="T357">
        <v>0</v>
      </c>
      <c r="U357">
        <v>0</v>
      </c>
      <c r="V357">
        <v>5</v>
      </c>
      <c r="W357" t="s">
        <v>492</v>
      </c>
      <c r="AK357" t="s">
        <v>622</v>
      </c>
    </row>
    <row r="358" spans="1:37" x14ac:dyDescent="0.25">
      <c r="A358" s="163">
        <v>46184</v>
      </c>
      <c r="B358" s="163">
        <v>46184</v>
      </c>
      <c r="C358">
        <v>3</v>
      </c>
      <c r="D358" t="s">
        <v>86</v>
      </c>
      <c r="E358">
        <v>31582</v>
      </c>
      <c r="G358">
        <v>1</v>
      </c>
      <c r="H358">
        <v>40353339</v>
      </c>
      <c r="I358" t="s">
        <v>247</v>
      </c>
      <c r="J358">
        <v>0</v>
      </c>
      <c r="K358">
        <v>0</v>
      </c>
      <c r="L358">
        <v>0</v>
      </c>
      <c r="M358">
        <v>0</v>
      </c>
      <c r="N358">
        <v>0</v>
      </c>
      <c r="O358">
        <v>55</v>
      </c>
      <c r="P358">
        <v>0</v>
      </c>
      <c r="Q358">
        <v>0</v>
      </c>
      <c r="R358">
        <v>0</v>
      </c>
      <c r="S358">
        <v>0</v>
      </c>
      <c r="T358">
        <v>0</v>
      </c>
      <c r="U358">
        <v>0</v>
      </c>
      <c r="V358">
        <v>55</v>
      </c>
      <c r="W358" t="s">
        <v>492</v>
      </c>
      <c r="AK358" t="s">
        <v>661</v>
      </c>
    </row>
    <row r="359" spans="1:37" x14ac:dyDescent="0.25">
      <c r="A359" s="163">
        <v>46198</v>
      </c>
      <c r="B359" s="163">
        <v>46198</v>
      </c>
      <c r="C359">
        <v>3</v>
      </c>
      <c r="D359" t="s">
        <v>86</v>
      </c>
      <c r="E359">
        <v>31773</v>
      </c>
      <c r="G359">
        <v>6</v>
      </c>
      <c r="H359">
        <v>20518164717</v>
      </c>
      <c r="I359" t="s">
        <v>118</v>
      </c>
      <c r="J359">
        <v>0</v>
      </c>
      <c r="K359">
        <v>0</v>
      </c>
      <c r="L359">
        <v>0</v>
      </c>
      <c r="M359">
        <v>0</v>
      </c>
      <c r="N359">
        <v>0</v>
      </c>
      <c r="O359">
        <v>13.5</v>
      </c>
      <c r="P359">
        <v>0</v>
      </c>
      <c r="Q359">
        <v>0</v>
      </c>
      <c r="R359">
        <v>0</v>
      </c>
      <c r="S359">
        <v>0</v>
      </c>
      <c r="T359">
        <v>0</v>
      </c>
      <c r="U359">
        <v>0</v>
      </c>
      <c r="V359">
        <v>13.5</v>
      </c>
      <c r="W359" t="s">
        <v>492</v>
      </c>
      <c r="AK359" t="s">
        <v>854</v>
      </c>
    </row>
    <row r="360" spans="1:37" x14ac:dyDescent="0.25">
      <c r="A360" s="163">
        <v>46190</v>
      </c>
      <c r="B360" s="163">
        <v>46190</v>
      </c>
      <c r="C360">
        <v>7</v>
      </c>
      <c r="D360" t="s">
        <v>87</v>
      </c>
      <c r="E360">
        <v>159</v>
      </c>
      <c r="G360">
        <v>1</v>
      </c>
      <c r="H360">
        <v>20070172</v>
      </c>
      <c r="I360" t="s">
        <v>303</v>
      </c>
      <c r="J360">
        <v>0</v>
      </c>
      <c r="K360">
        <v>0</v>
      </c>
      <c r="L360">
        <v>0</v>
      </c>
      <c r="M360">
        <v>0</v>
      </c>
      <c r="N360">
        <v>0</v>
      </c>
      <c r="O360">
        <v>-405</v>
      </c>
      <c r="P360">
        <v>0</v>
      </c>
      <c r="Q360">
        <v>0</v>
      </c>
      <c r="R360">
        <v>0</v>
      </c>
      <c r="S360">
        <v>0</v>
      </c>
      <c r="T360">
        <v>0</v>
      </c>
      <c r="U360">
        <v>0</v>
      </c>
      <c r="V360">
        <v>-405</v>
      </c>
      <c r="W360" t="s">
        <v>492</v>
      </c>
      <c r="Y360" s="163">
        <v>46190</v>
      </c>
      <c r="Z360">
        <v>3</v>
      </c>
      <c r="AA360" t="s">
        <v>86</v>
      </c>
      <c r="AB360">
        <v>31655</v>
      </c>
      <c r="AK360" t="s">
        <v>736</v>
      </c>
    </row>
    <row r="361" spans="1:37" x14ac:dyDescent="0.25">
      <c r="A361" s="163">
        <v>46182</v>
      </c>
      <c r="B361" s="163">
        <v>46182</v>
      </c>
      <c r="C361">
        <v>3</v>
      </c>
      <c r="D361" t="s">
        <v>86</v>
      </c>
      <c r="E361">
        <v>31549</v>
      </c>
      <c r="G361">
        <v>1</v>
      </c>
      <c r="H361">
        <v>42049798</v>
      </c>
      <c r="I361" t="s">
        <v>221</v>
      </c>
      <c r="J361">
        <v>0</v>
      </c>
      <c r="K361">
        <v>0</v>
      </c>
      <c r="L361">
        <v>0</v>
      </c>
      <c r="M361">
        <v>0</v>
      </c>
      <c r="N361">
        <v>0</v>
      </c>
      <c r="O361">
        <v>5</v>
      </c>
      <c r="P361">
        <v>0</v>
      </c>
      <c r="Q361">
        <v>0</v>
      </c>
      <c r="R361">
        <v>0</v>
      </c>
      <c r="S361">
        <v>0</v>
      </c>
      <c r="T361">
        <v>0</v>
      </c>
      <c r="U361">
        <v>0</v>
      </c>
      <c r="V361">
        <v>5</v>
      </c>
      <c r="W361" t="s">
        <v>492</v>
      </c>
      <c r="AK361" t="s">
        <v>631</v>
      </c>
    </row>
    <row r="362" spans="1:37" x14ac:dyDescent="0.25">
      <c r="A362" s="163">
        <v>46190</v>
      </c>
      <c r="B362" s="163">
        <v>46190</v>
      </c>
      <c r="C362">
        <v>3</v>
      </c>
      <c r="D362" t="s">
        <v>86</v>
      </c>
      <c r="E362">
        <v>31660</v>
      </c>
      <c r="G362">
        <v>1</v>
      </c>
      <c r="H362">
        <v>20106856</v>
      </c>
      <c r="I362" t="s">
        <v>304</v>
      </c>
      <c r="J362">
        <v>0</v>
      </c>
      <c r="K362">
        <v>0</v>
      </c>
      <c r="L362">
        <v>0</v>
      </c>
      <c r="M362">
        <v>0</v>
      </c>
      <c r="N362">
        <v>0</v>
      </c>
      <c r="O362">
        <v>96.5</v>
      </c>
      <c r="P362">
        <v>0</v>
      </c>
      <c r="Q362">
        <v>0</v>
      </c>
      <c r="R362">
        <v>0</v>
      </c>
      <c r="S362">
        <v>0</v>
      </c>
      <c r="T362">
        <v>0</v>
      </c>
      <c r="U362">
        <v>0</v>
      </c>
      <c r="V362">
        <v>96.5</v>
      </c>
      <c r="W362" t="s">
        <v>492</v>
      </c>
      <c r="AK362" t="s">
        <v>739</v>
      </c>
    </row>
    <row r="363" spans="1:37" x14ac:dyDescent="0.25">
      <c r="A363" s="163">
        <v>46183</v>
      </c>
      <c r="B363" s="163">
        <v>46183</v>
      </c>
      <c r="C363">
        <v>3</v>
      </c>
      <c r="D363" t="s">
        <v>86</v>
      </c>
      <c r="E363">
        <v>31564</v>
      </c>
      <c r="G363">
        <v>6</v>
      </c>
      <c r="H363">
        <v>20518164717</v>
      </c>
      <c r="I363" t="s">
        <v>118</v>
      </c>
      <c r="J363">
        <v>0</v>
      </c>
      <c r="K363">
        <v>0</v>
      </c>
      <c r="L363">
        <v>0</v>
      </c>
      <c r="M363">
        <v>0</v>
      </c>
      <c r="N363">
        <v>0</v>
      </c>
      <c r="O363">
        <v>15.6</v>
      </c>
      <c r="P363">
        <v>0</v>
      </c>
      <c r="Q363">
        <v>0</v>
      </c>
      <c r="R363">
        <v>0</v>
      </c>
      <c r="S363">
        <v>0</v>
      </c>
      <c r="T363">
        <v>0</v>
      </c>
      <c r="U363">
        <v>0</v>
      </c>
      <c r="V363">
        <v>15.6</v>
      </c>
      <c r="W363" t="s">
        <v>492</v>
      </c>
      <c r="AK363" t="s">
        <v>645</v>
      </c>
    </row>
    <row r="364" spans="1:37" x14ac:dyDescent="0.25">
      <c r="A364" s="163">
        <v>46182</v>
      </c>
      <c r="B364" s="163">
        <v>46182</v>
      </c>
      <c r="C364">
        <v>3</v>
      </c>
      <c r="D364" t="s">
        <v>86</v>
      </c>
      <c r="E364">
        <v>31548</v>
      </c>
      <c r="G364">
        <v>1</v>
      </c>
      <c r="H364">
        <v>19969361</v>
      </c>
      <c r="I364" t="s">
        <v>220</v>
      </c>
      <c r="J364">
        <v>0</v>
      </c>
      <c r="K364">
        <v>0</v>
      </c>
      <c r="L364">
        <v>0</v>
      </c>
      <c r="M364">
        <v>0</v>
      </c>
      <c r="N364">
        <v>0</v>
      </c>
      <c r="O364">
        <v>7.5</v>
      </c>
      <c r="P364">
        <v>0</v>
      </c>
      <c r="Q364">
        <v>0</v>
      </c>
      <c r="R364">
        <v>0</v>
      </c>
      <c r="S364">
        <v>0</v>
      </c>
      <c r="T364">
        <v>0</v>
      </c>
      <c r="U364">
        <v>0</v>
      </c>
      <c r="V364">
        <v>7.5</v>
      </c>
      <c r="W364" t="s">
        <v>492</v>
      </c>
      <c r="AK364" t="s">
        <v>630</v>
      </c>
    </row>
    <row r="365" spans="1:37" x14ac:dyDescent="0.25">
      <c r="A365" s="163">
        <v>46193</v>
      </c>
      <c r="B365" s="163">
        <v>46193</v>
      </c>
      <c r="C365">
        <v>3</v>
      </c>
      <c r="D365" t="s">
        <v>86</v>
      </c>
      <c r="E365">
        <v>31704</v>
      </c>
      <c r="G365">
        <v>6</v>
      </c>
      <c r="H365">
        <v>20518164717</v>
      </c>
      <c r="I365" t="s">
        <v>118</v>
      </c>
      <c r="J365">
        <v>0</v>
      </c>
      <c r="K365">
        <v>0</v>
      </c>
      <c r="L365">
        <v>0</v>
      </c>
      <c r="M365">
        <v>0</v>
      </c>
      <c r="N365">
        <v>0</v>
      </c>
      <c r="O365">
        <v>16.3</v>
      </c>
      <c r="P365">
        <v>0</v>
      </c>
      <c r="Q365">
        <v>0</v>
      </c>
      <c r="R365">
        <v>0</v>
      </c>
      <c r="S365">
        <v>0</v>
      </c>
      <c r="T365">
        <v>0</v>
      </c>
      <c r="U365">
        <v>0</v>
      </c>
      <c r="V365">
        <v>16.3</v>
      </c>
      <c r="W365" t="s">
        <v>492</v>
      </c>
      <c r="AK365" t="s">
        <v>783</v>
      </c>
    </row>
    <row r="366" spans="1:37" x14ac:dyDescent="0.25">
      <c r="A366" s="163">
        <v>46176</v>
      </c>
      <c r="B366" s="163">
        <v>46176</v>
      </c>
      <c r="C366">
        <v>3</v>
      </c>
      <c r="D366" t="s">
        <v>86</v>
      </c>
      <c r="E366">
        <v>31462</v>
      </c>
      <c r="G366">
        <v>1</v>
      </c>
      <c r="H366">
        <v>19961776</v>
      </c>
      <c r="I366" t="s">
        <v>143</v>
      </c>
      <c r="J366">
        <v>0</v>
      </c>
      <c r="K366">
        <v>0</v>
      </c>
      <c r="L366">
        <v>0</v>
      </c>
      <c r="M366">
        <v>0</v>
      </c>
      <c r="N366">
        <v>0</v>
      </c>
      <c r="O366">
        <v>63</v>
      </c>
      <c r="P366">
        <v>0</v>
      </c>
      <c r="Q366">
        <v>0</v>
      </c>
      <c r="R366">
        <v>0</v>
      </c>
      <c r="S366">
        <v>0</v>
      </c>
      <c r="T366">
        <v>0</v>
      </c>
      <c r="U366">
        <v>0</v>
      </c>
      <c r="V366">
        <v>63</v>
      </c>
      <c r="W366" t="s">
        <v>492</v>
      </c>
      <c r="AK366" t="s">
        <v>547</v>
      </c>
    </row>
    <row r="367" spans="1:37" x14ac:dyDescent="0.25">
      <c r="A367" s="163">
        <v>46191</v>
      </c>
      <c r="B367" s="163">
        <v>46191</v>
      </c>
      <c r="C367">
        <v>3</v>
      </c>
      <c r="D367" t="s">
        <v>86</v>
      </c>
      <c r="E367">
        <v>31674</v>
      </c>
      <c r="G367">
        <v>1</v>
      </c>
      <c r="H367">
        <v>45732811</v>
      </c>
      <c r="I367" t="s">
        <v>315</v>
      </c>
      <c r="J367">
        <v>0</v>
      </c>
      <c r="K367">
        <v>0</v>
      </c>
      <c r="L367">
        <v>0</v>
      </c>
      <c r="M367">
        <v>0</v>
      </c>
      <c r="N367">
        <v>0</v>
      </c>
      <c r="O367">
        <v>50</v>
      </c>
      <c r="P367">
        <v>0</v>
      </c>
      <c r="Q367">
        <v>0</v>
      </c>
      <c r="R367">
        <v>0</v>
      </c>
      <c r="S367">
        <v>0</v>
      </c>
      <c r="T367">
        <v>0</v>
      </c>
      <c r="U367">
        <v>0</v>
      </c>
      <c r="V367">
        <v>50</v>
      </c>
      <c r="W367" t="s">
        <v>492</v>
      </c>
      <c r="AK367" t="s">
        <v>753</v>
      </c>
    </row>
    <row r="368" spans="1:37" x14ac:dyDescent="0.25">
      <c r="A368" s="163">
        <v>46203</v>
      </c>
      <c r="B368" s="163">
        <v>46203</v>
      </c>
      <c r="C368">
        <v>3</v>
      </c>
      <c r="D368" t="s">
        <v>86</v>
      </c>
      <c r="E368">
        <v>31841</v>
      </c>
      <c r="G368">
        <v>1</v>
      </c>
      <c r="H368">
        <v>74440952</v>
      </c>
      <c r="I368" t="s">
        <v>449</v>
      </c>
      <c r="J368">
        <v>0</v>
      </c>
      <c r="K368">
        <v>0</v>
      </c>
      <c r="L368">
        <v>0</v>
      </c>
      <c r="M368">
        <v>0</v>
      </c>
      <c r="N368">
        <v>0</v>
      </c>
      <c r="O368">
        <v>10</v>
      </c>
      <c r="P368">
        <v>0</v>
      </c>
      <c r="Q368">
        <v>0</v>
      </c>
      <c r="R368">
        <v>0</v>
      </c>
      <c r="S368">
        <v>0</v>
      </c>
      <c r="T368">
        <v>0</v>
      </c>
      <c r="U368">
        <v>0</v>
      </c>
      <c r="V368">
        <v>10</v>
      </c>
      <c r="W368" t="s">
        <v>492</v>
      </c>
      <c r="AK368" t="s">
        <v>920</v>
      </c>
    </row>
    <row r="369" spans="1:37" x14ac:dyDescent="0.25">
      <c r="A369" s="163">
        <v>46191</v>
      </c>
      <c r="B369" s="163">
        <v>46191</v>
      </c>
      <c r="C369">
        <v>3</v>
      </c>
      <c r="D369" t="s">
        <v>86</v>
      </c>
      <c r="E369">
        <v>31686</v>
      </c>
      <c r="G369">
        <v>1</v>
      </c>
      <c r="H369">
        <v>20103638</v>
      </c>
      <c r="I369" t="s">
        <v>963</v>
      </c>
      <c r="J369">
        <v>0</v>
      </c>
      <c r="K369">
        <v>0</v>
      </c>
      <c r="L369">
        <v>0</v>
      </c>
      <c r="M369">
        <v>0</v>
      </c>
      <c r="N369">
        <v>0</v>
      </c>
      <c r="O369">
        <v>30</v>
      </c>
      <c r="P369">
        <v>0</v>
      </c>
      <c r="Q369">
        <v>0</v>
      </c>
      <c r="R369">
        <v>0</v>
      </c>
      <c r="S369">
        <v>0</v>
      </c>
      <c r="T369">
        <v>0</v>
      </c>
      <c r="U369">
        <v>0</v>
      </c>
      <c r="V369">
        <v>30</v>
      </c>
      <c r="W369" t="s">
        <v>492</v>
      </c>
      <c r="AK369" t="s">
        <v>765</v>
      </c>
    </row>
    <row r="370" spans="1:37" x14ac:dyDescent="0.25">
      <c r="A370" s="163">
        <v>46199</v>
      </c>
      <c r="B370" s="163">
        <v>46199</v>
      </c>
      <c r="C370">
        <v>3</v>
      </c>
      <c r="D370" t="s">
        <v>86</v>
      </c>
      <c r="E370">
        <v>31796</v>
      </c>
      <c r="G370">
        <v>1</v>
      </c>
      <c r="H370">
        <v>20887327</v>
      </c>
      <c r="I370" t="s">
        <v>413</v>
      </c>
      <c r="J370">
        <v>0</v>
      </c>
      <c r="K370">
        <v>0</v>
      </c>
      <c r="L370">
        <v>0</v>
      </c>
      <c r="M370">
        <v>0</v>
      </c>
      <c r="N370">
        <v>0</v>
      </c>
      <c r="O370">
        <v>57.5</v>
      </c>
      <c r="P370">
        <v>0</v>
      </c>
      <c r="Q370">
        <v>0</v>
      </c>
      <c r="R370">
        <v>0</v>
      </c>
      <c r="S370">
        <v>0</v>
      </c>
      <c r="T370">
        <v>0</v>
      </c>
      <c r="U370">
        <v>0</v>
      </c>
      <c r="V370">
        <v>57.5</v>
      </c>
      <c r="W370" t="s">
        <v>492</v>
      </c>
      <c r="AK370" t="s">
        <v>876</v>
      </c>
    </row>
    <row r="371" spans="1:37" x14ac:dyDescent="0.25">
      <c r="A371" s="163">
        <v>46199</v>
      </c>
      <c r="B371" s="163">
        <v>46199</v>
      </c>
      <c r="C371">
        <v>3</v>
      </c>
      <c r="D371" t="s">
        <v>86</v>
      </c>
      <c r="E371">
        <v>31794</v>
      </c>
      <c r="G371">
        <v>1</v>
      </c>
      <c r="H371">
        <v>20712263</v>
      </c>
      <c r="I371" t="s">
        <v>411</v>
      </c>
      <c r="J371">
        <v>0</v>
      </c>
      <c r="K371">
        <v>0</v>
      </c>
      <c r="L371">
        <v>0</v>
      </c>
      <c r="M371">
        <v>0</v>
      </c>
      <c r="N371">
        <v>0</v>
      </c>
      <c r="O371">
        <v>103.4</v>
      </c>
      <c r="P371">
        <v>0</v>
      </c>
      <c r="Q371">
        <v>0</v>
      </c>
      <c r="R371">
        <v>0</v>
      </c>
      <c r="S371">
        <v>0</v>
      </c>
      <c r="T371">
        <v>0</v>
      </c>
      <c r="U371">
        <v>0</v>
      </c>
      <c r="V371">
        <v>103.4</v>
      </c>
      <c r="W371" t="s">
        <v>492</v>
      </c>
      <c r="AK371" t="s">
        <v>874</v>
      </c>
    </row>
    <row r="372" spans="1:37" x14ac:dyDescent="0.25">
      <c r="A372" s="163">
        <v>46183</v>
      </c>
      <c r="B372" s="163">
        <v>46183</v>
      </c>
      <c r="C372">
        <v>3</v>
      </c>
      <c r="D372" t="s">
        <v>86</v>
      </c>
      <c r="E372">
        <v>31571</v>
      </c>
      <c r="G372">
        <v>1</v>
      </c>
      <c r="H372">
        <v>47929727</v>
      </c>
      <c r="I372" t="s">
        <v>238</v>
      </c>
      <c r="J372">
        <v>0</v>
      </c>
      <c r="K372">
        <v>0</v>
      </c>
      <c r="L372">
        <v>0</v>
      </c>
      <c r="M372">
        <v>0</v>
      </c>
      <c r="N372">
        <v>0</v>
      </c>
      <c r="O372">
        <v>50</v>
      </c>
      <c r="P372">
        <v>0</v>
      </c>
      <c r="Q372">
        <v>0</v>
      </c>
      <c r="R372">
        <v>0</v>
      </c>
      <c r="S372">
        <v>0</v>
      </c>
      <c r="T372">
        <v>0</v>
      </c>
      <c r="U372">
        <v>0</v>
      </c>
      <c r="V372">
        <v>50</v>
      </c>
      <c r="W372" t="s">
        <v>492</v>
      </c>
      <c r="AK372" t="s">
        <v>655</v>
      </c>
    </row>
    <row r="373" spans="1:37" x14ac:dyDescent="0.25">
      <c r="A373" s="163">
        <v>46178</v>
      </c>
      <c r="B373" s="163">
        <v>46178</v>
      </c>
      <c r="C373">
        <v>3</v>
      </c>
      <c r="D373" t="s">
        <v>86</v>
      </c>
      <c r="E373">
        <v>31500</v>
      </c>
      <c r="G373">
        <v>1</v>
      </c>
      <c r="H373">
        <v>76692458</v>
      </c>
      <c r="I373" t="s">
        <v>175</v>
      </c>
      <c r="J373">
        <v>0</v>
      </c>
      <c r="K373">
        <v>0</v>
      </c>
      <c r="L373">
        <v>0</v>
      </c>
      <c r="M373">
        <v>0</v>
      </c>
      <c r="N373">
        <v>0</v>
      </c>
      <c r="O373">
        <v>10</v>
      </c>
      <c r="P373">
        <v>0</v>
      </c>
      <c r="Q373">
        <v>0</v>
      </c>
      <c r="R373">
        <v>0</v>
      </c>
      <c r="S373">
        <v>0</v>
      </c>
      <c r="T373">
        <v>0</v>
      </c>
      <c r="U373">
        <v>0</v>
      </c>
      <c r="V373">
        <v>10</v>
      </c>
      <c r="W373" t="s">
        <v>492</v>
      </c>
      <c r="AK373" t="s">
        <v>583</v>
      </c>
    </row>
    <row r="374" spans="1:37" x14ac:dyDescent="0.25">
      <c r="A374" s="163">
        <v>46186</v>
      </c>
      <c r="B374" s="163">
        <v>46186</v>
      </c>
      <c r="C374">
        <v>7</v>
      </c>
      <c r="D374" t="s">
        <v>87</v>
      </c>
      <c r="E374">
        <v>158</v>
      </c>
      <c r="G374">
        <v>6</v>
      </c>
      <c r="H374">
        <v>20518164717</v>
      </c>
      <c r="I374" t="s">
        <v>118</v>
      </c>
      <c r="J374">
        <v>0</v>
      </c>
      <c r="K374">
        <v>0</v>
      </c>
      <c r="L374">
        <v>0</v>
      </c>
      <c r="M374">
        <v>0</v>
      </c>
      <c r="N374">
        <v>0</v>
      </c>
      <c r="O374">
        <v>-13</v>
      </c>
      <c r="P374">
        <v>0</v>
      </c>
      <c r="Q374">
        <v>0</v>
      </c>
      <c r="R374">
        <v>0</v>
      </c>
      <c r="S374">
        <v>0</v>
      </c>
      <c r="T374">
        <v>0</v>
      </c>
      <c r="U374">
        <v>0</v>
      </c>
      <c r="V374">
        <v>-13</v>
      </c>
      <c r="W374" t="s">
        <v>492</v>
      </c>
      <c r="Y374" s="163">
        <v>46186</v>
      </c>
      <c r="Z374">
        <v>3</v>
      </c>
      <c r="AA374" t="s">
        <v>86</v>
      </c>
      <c r="AB374">
        <v>31604</v>
      </c>
      <c r="AK374" t="s">
        <v>684</v>
      </c>
    </row>
    <row r="375" spans="1:37" x14ac:dyDescent="0.25">
      <c r="A375" s="163">
        <v>46178</v>
      </c>
      <c r="B375" s="163">
        <v>46178</v>
      </c>
      <c r="C375">
        <v>3</v>
      </c>
      <c r="D375" t="s">
        <v>86</v>
      </c>
      <c r="E375">
        <v>31501</v>
      </c>
      <c r="G375">
        <v>1</v>
      </c>
      <c r="H375">
        <v>19871043</v>
      </c>
      <c r="I375" t="s">
        <v>176</v>
      </c>
      <c r="J375">
        <v>0</v>
      </c>
      <c r="K375">
        <v>0</v>
      </c>
      <c r="L375">
        <v>0</v>
      </c>
      <c r="M375">
        <v>0</v>
      </c>
      <c r="N375">
        <v>0</v>
      </c>
      <c r="O375">
        <v>89.5</v>
      </c>
      <c r="P375">
        <v>0</v>
      </c>
      <c r="Q375">
        <v>0</v>
      </c>
      <c r="R375">
        <v>0</v>
      </c>
      <c r="S375">
        <v>0</v>
      </c>
      <c r="T375">
        <v>0</v>
      </c>
      <c r="U375">
        <v>0</v>
      </c>
      <c r="V375">
        <v>89.5</v>
      </c>
      <c r="W375" t="s">
        <v>492</v>
      </c>
      <c r="AK375" t="s">
        <v>584</v>
      </c>
    </row>
    <row r="376" spans="1:37" x14ac:dyDescent="0.25">
      <c r="A376" s="163">
        <v>46193</v>
      </c>
      <c r="B376" s="163">
        <v>46193</v>
      </c>
      <c r="C376">
        <v>3</v>
      </c>
      <c r="D376" t="s">
        <v>86</v>
      </c>
      <c r="E376">
        <v>31702</v>
      </c>
      <c r="G376">
        <v>1</v>
      </c>
      <c r="H376">
        <v>45317038</v>
      </c>
      <c r="I376" t="s">
        <v>339</v>
      </c>
      <c r="J376">
        <v>0</v>
      </c>
      <c r="K376">
        <v>0</v>
      </c>
      <c r="L376">
        <v>0</v>
      </c>
      <c r="M376">
        <v>0</v>
      </c>
      <c r="N376">
        <v>0</v>
      </c>
      <c r="O376">
        <v>17.5</v>
      </c>
      <c r="P376">
        <v>0</v>
      </c>
      <c r="Q376">
        <v>0</v>
      </c>
      <c r="R376">
        <v>0</v>
      </c>
      <c r="S376">
        <v>0</v>
      </c>
      <c r="T376">
        <v>0</v>
      </c>
      <c r="U376">
        <v>0</v>
      </c>
      <c r="V376">
        <v>17.5</v>
      </c>
      <c r="W376" t="s">
        <v>492</v>
      </c>
      <c r="AK376" t="s">
        <v>781</v>
      </c>
    </row>
    <row r="377" spans="1:37" x14ac:dyDescent="0.25">
      <c r="A377" s="163">
        <v>46182</v>
      </c>
      <c r="B377" s="163">
        <v>46182</v>
      </c>
      <c r="C377">
        <v>3</v>
      </c>
      <c r="D377" t="s">
        <v>86</v>
      </c>
      <c r="E377">
        <v>31550</v>
      </c>
      <c r="G377">
        <v>1</v>
      </c>
      <c r="H377">
        <v>19988801</v>
      </c>
      <c r="I377" t="s">
        <v>103</v>
      </c>
      <c r="J377">
        <v>0</v>
      </c>
      <c r="K377">
        <v>0</v>
      </c>
      <c r="L377">
        <v>0</v>
      </c>
      <c r="M377">
        <v>0</v>
      </c>
      <c r="N377">
        <v>0</v>
      </c>
      <c r="O377">
        <v>10</v>
      </c>
      <c r="P377">
        <v>0</v>
      </c>
      <c r="Q377">
        <v>0</v>
      </c>
      <c r="R377">
        <v>0</v>
      </c>
      <c r="S377">
        <v>0</v>
      </c>
      <c r="T377">
        <v>0</v>
      </c>
      <c r="U377">
        <v>0</v>
      </c>
      <c r="V377">
        <v>10</v>
      </c>
      <c r="W377" t="s">
        <v>492</v>
      </c>
      <c r="AK377" t="s">
        <v>632</v>
      </c>
    </row>
    <row r="378" spans="1:37" x14ac:dyDescent="0.25">
      <c r="A378" s="163">
        <v>46192</v>
      </c>
      <c r="B378" s="163">
        <v>46192</v>
      </c>
      <c r="C378">
        <v>3</v>
      </c>
      <c r="D378" t="s">
        <v>86</v>
      </c>
      <c r="E378">
        <v>31696</v>
      </c>
      <c r="G378">
        <v>1</v>
      </c>
      <c r="H378">
        <v>20072381</v>
      </c>
      <c r="I378" t="s">
        <v>333</v>
      </c>
      <c r="J378">
        <v>0</v>
      </c>
      <c r="K378">
        <v>0</v>
      </c>
      <c r="L378">
        <v>0</v>
      </c>
      <c r="M378">
        <v>0</v>
      </c>
      <c r="N378">
        <v>0</v>
      </c>
      <c r="O378">
        <v>25</v>
      </c>
      <c r="P378">
        <v>0</v>
      </c>
      <c r="Q378">
        <v>0</v>
      </c>
      <c r="R378">
        <v>0</v>
      </c>
      <c r="S378">
        <v>0</v>
      </c>
      <c r="T378">
        <v>0</v>
      </c>
      <c r="U378">
        <v>0</v>
      </c>
      <c r="V378">
        <v>25</v>
      </c>
      <c r="W378" t="s">
        <v>492</v>
      </c>
      <c r="AK378" t="s">
        <v>775</v>
      </c>
    </row>
    <row r="379" spans="1:37" x14ac:dyDescent="0.25">
      <c r="A379" s="163">
        <v>46184</v>
      </c>
      <c r="B379" s="163">
        <v>46184</v>
      </c>
      <c r="C379">
        <v>3</v>
      </c>
      <c r="D379" t="s">
        <v>86</v>
      </c>
      <c r="E379">
        <v>31584</v>
      </c>
      <c r="G379">
        <v>1</v>
      </c>
      <c r="H379">
        <v>47846371</v>
      </c>
      <c r="I379" t="s">
        <v>249</v>
      </c>
      <c r="J379">
        <v>0</v>
      </c>
      <c r="K379">
        <v>0</v>
      </c>
      <c r="L379">
        <v>0</v>
      </c>
      <c r="M379">
        <v>0</v>
      </c>
      <c r="N379">
        <v>0</v>
      </c>
      <c r="O379">
        <v>22.4</v>
      </c>
      <c r="P379">
        <v>0</v>
      </c>
      <c r="Q379">
        <v>0</v>
      </c>
      <c r="R379">
        <v>0</v>
      </c>
      <c r="S379">
        <v>0</v>
      </c>
      <c r="T379">
        <v>0</v>
      </c>
      <c r="U379">
        <v>0</v>
      </c>
      <c r="V379">
        <v>22.4</v>
      </c>
      <c r="W379" t="s">
        <v>492</v>
      </c>
      <c r="AK379" t="s">
        <v>663</v>
      </c>
    </row>
    <row r="380" spans="1:37" x14ac:dyDescent="0.25">
      <c r="A380" s="163">
        <v>46189</v>
      </c>
      <c r="B380" s="163">
        <v>46189</v>
      </c>
      <c r="C380">
        <v>3</v>
      </c>
      <c r="D380" t="s">
        <v>86</v>
      </c>
      <c r="E380">
        <v>31645</v>
      </c>
      <c r="G380">
        <v>1</v>
      </c>
      <c r="H380">
        <v>19882114</v>
      </c>
      <c r="I380" t="s">
        <v>295</v>
      </c>
      <c r="J380">
        <v>0</v>
      </c>
      <c r="K380">
        <v>0</v>
      </c>
      <c r="L380">
        <v>0</v>
      </c>
      <c r="M380">
        <v>0</v>
      </c>
      <c r="N380">
        <v>0</v>
      </c>
      <c r="O380">
        <v>45</v>
      </c>
      <c r="P380">
        <v>0</v>
      </c>
      <c r="Q380">
        <v>0</v>
      </c>
      <c r="R380">
        <v>0</v>
      </c>
      <c r="S380">
        <v>0</v>
      </c>
      <c r="T380">
        <v>0</v>
      </c>
      <c r="U380">
        <v>0</v>
      </c>
      <c r="V380">
        <v>45</v>
      </c>
      <c r="W380" t="s">
        <v>492</v>
      </c>
      <c r="AK380" t="s">
        <v>724</v>
      </c>
    </row>
    <row r="381" spans="1:37" x14ac:dyDescent="0.25">
      <c r="A381" s="163">
        <v>46199</v>
      </c>
      <c r="B381" s="163">
        <v>46199</v>
      </c>
      <c r="C381">
        <v>3</v>
      </c>
      <c r="D381" t="s">
        <v>86</v>
      </c>
      <c r="E381">
        <v>31802</v>
      </c>
      <c r="G381">
        <v>1</v>
      </c>
      <c r="H381">
        <v>18140799</v>
      </c>
      <c r="I381" t="s">
        <v>257</v>
      </c>
      <c r="J381">
        <v>0</v>
      </c>
      <c r="K381">
        <v>0</v>
      </c>
      <c r="L381">
        <v>0</v>
      </c>
      <c r="M381">
        <v>0</v>
      </c>
      <c r="N381">
        <v>0</v>
      </c>
      <c r="O381">
        <v>40</v>
      </c>
      <c r="P381">
        <v>0</v>
      </c>
      <c r="Q381">
        <v>0</v>
      </c>
      <c r="R381">
        <v>0</v>
      </c>
      <c r="S381">
        <v>0</v>
      </c>
      <c r="T381">
        <v>0</v>
      </c>
      <c r="U381">
        <v>0</v>
      </c>
      <c r="V381">
        <v>40</v>
      </c>
      <c r="W381" t="s">
        <v>492</v>
      </c>
      <c r="AK381" t="s">
        <v>881</v>
      </c>
    </row>
    <row r="382" spans="1:37" x14ac:dyDescent="0.25">
      <c r="A382" s="163">
        <v>46179</v>
      </c>
      <c r="B382" s="163">
        <v>46179</v>
      </c>
      <c r="C382">
        <v>3</v>
      </c>
      <c r="D382" t="s">
        <v>86</v>
      </c>
      <c r="E382">
        <v>31503</v>
      </c>
      <c r="G382">
        <v>1</v>
      </c>
      <c r="H382">
        <v>60228991</v>
      </c>
      <c r="I382" t="s">
        <v>178</v>
      </c>
      <c r="J382">
        <v>0</v>
      </c>
      <c r="K382">
        <v>0</v>
      </c>
      <c r="L382">
        <v>0</v>
      </c>
      <c r="M382">
        <v>0</v>
      </c>
      <c r="N382">
        <v>0</v>
      </c>
      <c r="O382">
        <v>0.5</v>
      </c>
      <c r="P382">
        <v>0</v>
      </c>
      <c r="Q382">
        <v>0</v>
      </c>
      <c r="R382">
        <v>0</v>
      </c>
      <c r="S382">
        <v>0</v>
      </c>
      <c r="T382">
        <v>0</v>
      </c>
      <c r="U382">
        <v>0</v>
      </c>
      <c r="V382">
        <v>0.5</v>
      </c>
      <c r="W382" t="s">
        <v>492</v>
      </c>
      <c r="AK382" t="s">
        <v>586</v>
      </c>
    </row>
    <row r="383" spans="1:37" x14ac:dyDescent="0.25">
      <c r="A383" s="163">
        <v>46184</v>
      </c>
      <c r="B383" s="163">
        <v>46184</v>
      </c>
      <c r="C383">
        <v>3</v>
      </c>
      <c r="D383" t="s">
        <v>86</v>
      </c>
      <c r="E383">
        <v>31583</v>
      </c>
      <c r="G383">
        <v>1</v>
      </c>
      <c r="H383">
        <v>20433006</v>
      </c>
      <c r="I383" t="s">
        <v>248</v>
      </c>
      <c r="J383">
        <v>0</v>
      </c>
      <c r="K383">
        <v>0</v>
      </c>
      <c r="L383">
        <v>0</v>
      </c>
      <c r="M383">
        <v>0</v>
      </c>
      <c r="N383">
        <v>0</v>
      </c>
      <c r="O383">
        <v>7</v>
      </c>
      <c r="P383">
        <v>0</v>
      </c>
      <c r="Q383">
        <v>0</v>
      </c>
      <c r="R383">
        <v>0</v>
      </c>
      <c r="S383">
        <v>0</v>
      </c>
      <c r="T383">
        <v>0</v>
      </c>
      <c r="U383">
        <v>0</v>
      </c>
      <c r="V383">
        <v>7</v>
      </c>
      <c r="W383" t="s">
        <v>492</v>
      </c>
      <c r="AK383" t="s">
        <v>662</v>
      </c>
    </row>
    <row r="384" spans="1:37" x14ac:dyDescent="0.25">
      <c r="A384" s="163">
        <v>46192</v>
      </c>
      <c r="B384" s="163">
        <v>46192</v>
      </c>
      <c r="C384">
        <v>3</v>
      </c>
      <c r="D384" t="s">
        <v>86</v>
      </c>
      <c r="E384">
        <v>31695</v>
      </c>
      <c r="G384">
        <v>1</v>
      </c>
      <c r="H384">
        <v>40762514</v>
      </c>
      <c r="I384" t="s">
        <v>332</v>
      </c>
      <c r="J384">
        <v>0</v>
      </c>
      <c r="K384">
        <v>0</v>
      </c>
      <c r="L384">
        <v>0</v>
      </c>
      <c r="M384">
        <v>0</v>
      </c>
      <c r="N384">
        <v>0</v>
      </c>
      <c r="O384">
        <v>50</v>
      </c>
      <c r="P384">
        <v>0</v>
      </c>
      <c r="Q384">
        <v>0</v>
      </c>
      <c r="R384">
        <v>0</v>
      </c>
      <c r="S384">
        <v>0</v>
      </c>
      <c r="T384">
        <v>0</v>
      </c>
      <c r="U384">
        <v>0</v>
      </c>
      <c r="V384">
        <v>50</v>
      </c>
      <c r="W384" t="s">
        <v>492</v>
      </c>
      <c r="AK384" t="s">
        <v>774</v>
      </c>
    </row>
    <row r="385" spans="1:37" x14ac:dyDescent="0.25">
      <c r="A385" s="163">
        <v>46199</v>
      </c>
      <c r="B385" s="163">
        <v>46199</v>
      </c>
      <c r="C385">
        <v>3</v>
      </c>
      <c r="D385" t="s">
        <v>86</v>
      </c>
      <c r="E385">
        <v>31797</v>
      </c>
      <c r="G385">
        <v>1</v>
      </c>
      <c r="H385">
        <v>40631970</v>
      </c>
      <c r="I385" t="s">
        <v>414</v>
      </c>
      <c r="J385">
        <v>0</v>
      </c>
      <c r="K385">
        <v>0</v>
      </c>
      <c r="L385">
        <v>0</v>
      </c>
      <c r="M385">
        <v>0</v>
      </c>
      <c r="N385">
        <v>0</v>
      </c>
      <c r="O385">
        <v>40</v>
      </c>
      <c r="P385">
        <v>0</v>
      </c>
      <c r="Q385">
        <v>0</v>
      </c>
      <c r="R385">
        <v>0</v>
      </c>
      <c r="S385">
        <v>0</v>
      </c>
      <c r="T385">
        <v>0</v>
      </c>
      <c r="U385">
        <v>0</v>
      </c>
      <c r="V385">
        <v>40</v>
      </c>
      <c r="W385" t="s">
        <v>492</v>
      </c>
      <c r="AK385" t="s">
        <v>877</v>
      </c>
    </row>
    <row r="386" spans="1:37" x14ac:dyDescent="0.25">
      <c r="A386" s="163">
        <v>46190</v>
      </c>
      <c r="B386" s="163">
        <v>46190</v>
      </c>
      <c r="C386">
        <v>3</v>
      </c>
      <c r="D386" t="s">
        <v>86</v>
      </c>
      <c r="E386">
        <v>31667</v>
      </c>
      <c r="G386">
        <v>6</v>
      </c>
      <c r="H386">
        <v>10806339038</v>
      </c>
      <c r="I386" t="s">
        <v>310</v>
      </c>
      <c r="J386">
        <v>0</v>
      </c>
      <c r="K386">
        <v>0</v>
      </c>
      <c r="L386">
        <v>0</v>
      </c>
      <c r="M386">
        <v>0</v>
      </c>
      <c r="N386">
        <v>0</v>
      </c>
      <c r="O386">
        <v>123.5</v>
      </c>
      <c r="P386">
        <v>0</v>
      </c>
      <c r="Q386">
        <v>0</v>
      </c>
      <c r="R386">
        <v>0</v>
      </c>
      <c r="S386">
        <v>0</v>
      </c>
      <c r="T386">
        <v>0</v>
      </c>
      <c r="U386">
        <v>0</v>
      </c>
      <c r="V386">
        <v>123.5</v>
      </c>
      <c r="W386" t="s">
        <v>492</v>
      </c>
      <c r="AK386" t="s">
        <v>746</v>
      </c>
    </row>
    <row r="387" spans="1:37" x14ac:dyDescent="0.25">
      <c r="A387" s="163">
        <v>46198</v>
      </c>
      <c r="B387" s="163">
        <v>46198</v>
      </c>
      <c r="C387">
        <v>3</v>
      </c>
      <c r="D387" t="s">
        <v>86</v>
      </c>
      <c r="E387">
        <v>31774</v>
      </c>
      <c r="G387">
        <v>1</v>
      </c>
      <c r="H387">
        <v>20663033</v>
      </c>
      <c r="I387" t="s">
        <v>392</v>
      </c>
      <c r="J387">
        <v>0</v>
      </c>
      <c r="K387">
        <v>0</v>
      </c>
      <c r="L387">
        <v>0</v>
      </c>
      <c r="M387">
        <v>0</v>
      </c>
      <c r="N387">
        <v>0</v>
      </c>
      <c r="O387">
        <v>64.5</v>
      </c>
      <c r="P387">
        <v>0</v>
      </c>
      <c r="Q387">
        <v>0</v>
      </c>
      <c r="R387">
        <v>0</v>
      </c>
      <c r="S387">
        <v>0</v>
      </c>
      <c r="T387">
        <v>0</v>
      </c>
      <c r="U387">
        <v>0</v>
      </c>
      <c r="V387">
        <v>64.5</v>
      </c>
      <c r="W387" t="s">
        <v>492</v>
      </c>
      <c r="AK387" t="s">
        <v>855</v>
      </c>
    </row>
    <row r="388" spans="1:37" x14ac:dyDescent="0.25">
      <c r="A388" s="163">
        <v>46184</v>
      </c>
      <c r="B388" s="163">
        <v>46184</v>
      </c>
      <c r="C388">
        <v>3</v>
      </c>
      <c r="D388" t="s">
        <v>86</v>
      </c>
      <c r="E388">
        <v>31585</v>
      </c>
      <c r="G388">
        <v>1</v>
      </c>
      <c r="H388">
        <v>47846371</v>
      </c>
      <c r="I388" t="s">
        <v>249</v>
      </c>
      <c r="J388">
        <v>0</v>
      </c>
      <c r="K388">
        <v>0</v>
      </c>
      <c r="L388">
        <v>0</v>
      </c>
      <c r="M388">
        <v>0</v>
      </c>
      <c r="N388">
        <v>0</v>
      </c>
      <c r="O388">
        <v>24.9</v>
      </c>
      <c r="P388">
        <v>0</v>
      </c>
      <c r="Q388">
        <v>0</v>
      </c>
      <c r="R388">
        <v>0</v>
      </c>
      <c r="S388">
        <v>0</v>
      </c>
      <c r="T388">
        <v>0</v>
      </c>
      <c r="U388">
        <v>0</v>
      </c>
      <c r="V388">
        <v>24.9</v>
      </c>
      <c r="W388" t="s">
        <v>492</v>
      </c>
      <c r="AK388" t="s">
        <v>665</v>
      </c>
    </row>
    <row r="389" spans="1:37" x14ac:dyDescent="0.25">
      <c r="A389" s="163">
        <v>46197</v>
      </c>
      <c r="B389" s="163">
        <v>46197</v>
      </c>
      <c r="C389">
        <v>3</v>
      </c>
      <c r="D389" t="s">
        <v>86</v>
      </c>
      <c r="E389">
        <v>31771</v>
      </c>
      <c r="G389">
        <v>1</v>
      </c>
      <c r="H389">
        <v>20085390</v>
      </c>
      <c r="I389" t="s">
        <v>391</v>
      </c>
      <c r="J389">
        <v>0</v>
      </c>
      <c r="K389">
        <v>0</v>
      </c>
      <c r="L389">
        <v>0</v>
      </c>
      <c r="M389">
        <v>0</v>
      </c>
      <c r="N389">
        <v>0</v>
      </c>
      <c r="O389">
        <v>7.5</v>
      </c>
      <c r="P389">
        <v>0</v>
      </c>
      <c r="Q389">
        <v>0</v>
      </c>
      <c r="R389">
        <v>0</v>
      </c>
      <c r="S389">
        <v>0</v>
      </c>
      <c r="T389">
        <v>0</v>
      </c>
      <c r="U389">
        <v>0</v>
      </c>
      <c r="V389">
        <v>7.5</v>
      </c>
      <c r="W389" t="s">
        <v>492</v>
      </c>
      <c r="AK389" t="s">
        <v>852</v>
      </c>
    </row>
    <row r="390" spans="1:37" x14ac:dyDescent="0.25">
      <c r="A390" s="163">
        <v>46185</v>
      </c>
      <c r="B390" s="163">
        <v>46185</v>
      </c>
      <c r="C390">
        <v>3</v>
      </c>
      <c r="D390" t="s">
        <v>86</v>
      </c>
      <c r="E390">
        <v>31600</v>
      </c>
      <c r="G390">
        <v>1</v>
      </c>
      <c r="H390">
        <v>20104538</v>
      </c>
      <c r="I390" t="s">
        <v>262</v>
      </c>
      <c r="J390">
        <v>0</v>
      </c>
      <c r="K390">
        <v>0</v>
      </c>
      <c r="L390">
        <v>0</v>
      </c>
      <c r="M390">
        <v>0</v>
      </c>
      <c r="N390">
        <v>0</v>
      </c>
      <c r="O390">
        <v>25</v>
      </c>
      <c r="P390">
        <v>0</v>
      </c>
      <c r="Q390">
        <v>0</v>
      </c>
      <c r="R390">
        <v>0</v>
      </c>
      <c r="S390">
        <v>0</v>
      </c>
      <c r="T390">
        <v>0</v>
      </c>
      <c r="U390">
        <v>0</v>
      </c>
      <c r="V390">
        <v>25</v>
      </c>
      <c r="W390" t="s">
        <v>492</v>
      </c>
      <c r="AK390" t="s">
        <v>679</v>
      </c>
    </row>
    <row r="391" spans="1:37" x14ac:dyDescent="0.25">
      <c r="A391" s="163">
        <v>46190</v>
      </c>
      <c r="B391" s="163">
        <v>46190</v>
      </c>
      <c r="C391">
        <v>3</v>
      </c>
      <c r="D391" t="s">
        <v>86</v>
      </c>
      <c r="E391">
        <v>31666</v>
      </c>
      <c r="G391">
        <v>1</v>
      </c>
      <c r="H391">
        <v>20690802</v>
      </c>
      <c r="I391" t="s">
        <v>309</v>
      </c>
      <c r="J391">
        <v>0</v>
      </c>
      <c r="K391">
        <v>0</v>
      </c>
      <c r="L391">
        <v>0</v>
      </c>
      <c r="M391">
        <v>0</v>
      </c>
      <c r="N391">
        <v>0</v>
      </c>
      <c r="O391">
        <v>170</v>
      </c>
      <c r="P391">
        <v>0</v>
      </c>
      <c r="Q391">
        <v>0</v>
      </c>
      <c r="R391">
        <v>0</v>
      </c>
      <c r="S391">
        <v>0</v>
      </c>
      <c r="T391">
        <v>0</v>
      </c>
      <c r="U391">
        <v>0</v>
      </c>
      <c r="V391">
        <v>170</v>
      </c>
      <c r="W391" t="s">
        <v>492</v>
      </c>
      <c r="AK391" t="s">
        <v>745</v>
      </c>
    </row>
    <row r="392" spans="1:37" x14ac:dyDescent="0.25">
      <c r="A392" s="163">
        <v>46199</v>
      </c>
      <c r="B392" s="163">
        <v>46199</v>
      </c>
      <c r="C392">
        <v>3</v>
      </c>
      <c r="D392" t="s">
        <v>86</v>
      </c>
      <c r="E392">
        <v>31791</v>
      </c>
      <c r="G392">
        <v>6</v>
      </c>
      <c r="H392">
        <v>20608220233</v>
      </c>
      <c r="I392" t="s">
        <v>409</v>
      </c>
      <c r="J392">
        <v>0</v>
      </c>
      <c r="K392">
        <v>0</v>
      </c>
      <c r="L392">
        <v>0</v>
      </c>
      <c r="M392">
        <v>0</v>
      </c>
      <c r="N392">
        <v>0</v>
      </c>
      <c r="O392">
        <v>31.5</v>
      </c>
      <c r="P392">
        <v>0</v>
      </c>
      <c r="Q392">
        <v>0</v>
      </c>
      <c r="R392">
        <v>0</v>
      </c>
      <c r="S392">
        <v>0</v>
      </c>
      <c r="T392">
        <v>0</v>
      </c>
      <c r="U392">
        <v>0</v>
      </c>
      <c r="V392">
        <v>31.5</v>
      </c>
      <c r="W392" t="s">
        <v>492</v>
      </c>
      <c r="AK392" t="s">
        <v>871</v>
      </c>
    </row>
    <row r="393" spans="1:37" x14ac:dyDescent="0.25">
      <c r="A393" s="163">
        <v>46199</v>
      </c>
      <c r="B393" s="163">
        <v>46199</v>
      </c>
      <c r="C393">
        <v>3</v>
      </c>
      <c r="D393" t="s">
        <v>86</v>
      </c>
      <c r="E393">
        <v>31789</v>
      </c>
      <c r="G393">
        <v>1</v>
      </c>
      <c r="H393">
        <v>71066291</v>
      </c>
      <c r="I393" t="s">
        <v>407</v>
      </c>
      <c r="J393">
        <v>0</v>
      </c>
      <c r="K393">
        <v>0</v>
      </c>
      <c r="L393">
        <v>0</v>
      </c>
      <c r="M393">
        <v>0</v>
      </c>
      <c r="N393">
        <v>0</v>
      </c>
      <c r="O393">
        <v>10</v>
      </c>
      <c r="P393">
        <v>0</v>
      </c>
      <c r="Q393">
        <v>0</v>
      </c>
      <c r="R393">
        <v>0</v>
      </c>
      <c r="S393">
        <v>0</v>
      </c>
      <c r="T393">
        <v>0</v>
      </c>
      <c r="U393">
        <v>0</v>
      </c>
      <c r="V393">
        <v>10</v>
      </c>
      <c r="W393" t="s">
        <v>492</v>
      </c>
      <c r="AK393" t="s">
        <v>869</v>
      </c>
    </row>
    <row r="394" spans="1:37" x14ac:dyDescent="0.25">
      <c r="A394" s="163">
        <v>46199</v>
      </c>
      <c r="B394" s="163">
        <v>46199</v>
      </c>
      <c r="C394">
        <v>3</v>
      </c>
      <c r="D394" t="s">
        <v>86</v>
      </c>
      <c r="E394">
        <v>31798</v>
      </c>
      <c r="G394">
        <v>1</v>
      </c>
      <c r="H394">
        <v>45998102</v>
      </c>
      <c r="I394" t="s">
        <v>415</v>
      </c>
      <c r="J394">
        <v>0</v>
      </c>
      <c r="K394">
        <v>0</v>
      </c>
      <c r="L394">
        <v>0</v>
      </c>
      <c r="M394">
        <v>0</v>
      </c>
      <c r="N394">
        <v>0</v>
      </c>
      <c r="O394">
        <v>59</v>
      </c>
      <c r="P394">
        <v>0</v>
      </c>
      <c r="Q394">
        <v>0</v>
      </c>
      <c r="R394">
        <v>0</v>
      </c>
      <c r="S394">
        <v>0</v>
      </c>
      <c r="T394">
        <v>0</v>
      </c>
      <c r="U394">
        <v>0</v>
      </c>
      <c r="V394">
        <v>59</v>
      </c>
      <c r="W394" t="s">
        <v>492</v>
      </c>
      <c r="AK394" t="s">
        <v>878</v>
      </c>
    </row>
    <row r="395" spans="1:37" x14ac:dyDescent="0.25">
      <c r="A395" s="163">
        <v>46197</v>
      </c>
      <c r="B395" s="163">
        <v>46197</v>
      </c>
      <c r="C395">
        <v>7</v>
      </c>
      <c r="D395" t="s">
        <v>87</v>
      </c>
      <c r="E395">
        <v>161</v>
      </c>
      <c r="G395">
        <v>1</v>
      </c>
      <c r="H395">
        <v>20097756</v>
      </c>
      <c r="I395" t="s">
        <v>378</v>
      </c>
      <c r="J395">
        <v>0</v>
      </c>
      <c r="K395">
        <v>0</v>
      </c>
      <c r="L395">
        <v>0</v>
      </c>
      <c r="M395">
        <v>0</v>
      </c>
      <c r="N395">
        <v>0</v>
      </c>
      <c r="O395">
        <v>-375</v>
      </c>
      <c r="P395">
        <v>0</v>
      </c>
      <c r="Q395">
        <v>0</v>
      </c>
      <c r="R395">
        <v>0</v>
      </c>
      <c r="S395">
        <v>0</v>
      </c>
      <c r="T395">
        <v>0</v>
      </c>
      <c r="U395">
        <v>0</v>
      </c>
      <c r="V395">
        <v>-375</v>
      </c>
      <c r="W395" t="s">
        <v>492</v>
      </c>
      <c r="Y395" s="163">
        <v>46197</v>
      </c>
      <c r="Z395">
        <v>3</v>
      </c>
      <c r="AA395" t="s">
        <v>86</v>
      </c>
      <c r="AB395">
        <v>31755</v>
      </c>
      <c r="AK395" t="s">
        <v>838</v>
      </c>
    </row>
    <row r="396" spans="1:37" x14ac:dyDescent="0.25">
      <c r="A396" s="163">
        <v>46184</v>
      </c>
      <c r="B396" s="163">
        <v>46184</v>
      </c>
      <c r="C396">
        <v>3</v>
      </c>
      <c r="D396" t="s">
        <v>86</v>
      </c>
      <c r="E396">
        <v>31586</v>
      </c>
      <c r="G396">
        <v>1</v>
      </c>
      <c r="H396">
        <v>76830462</v>
      </c>
      <c r="I396" t="s">
        <v>250</v>
      </c>
      <c r="J396">
        <v>0</v>
      </c>
      <c r="K396">
        <v>0</v>
      </c>
      <c r="L396">
        <v>0</v>
      </c>
      <c r="M396">
        <v>0</v>
      </c>
      <c r="N396">
        <v>0</v>
      </c>
      <c r="O396">
        <v>40</v>
      </c>
      <c r="P396">
        <v>0</v>
      </c>
      <c r="Q396">
        <v>0</v>
      </c>
      <c r="R396">
        <v>0</v>
      </c>
      <c r="S396">
        <v>0</v>
      </c>
      <c r="T396">
        <v>0</v>
      </c>
      <c r="U396">
        <v>0</v>
      </c>
      <c r="V396">
        <v>40</v>
      </c>
      <c r="W396" t="s">
        <v>492</v>
      </c>
      <c r="AK396" t="s">
        <v>666</v>
      </c>
    </row>
    <row r="397" spans="1:37" x14ac:dyDescent="0.25">
      <c r="A397" s="163">
        <v>46184</v>
      </c>
      <c r="B397" s="163">
        <v>46184</v>
      </c>
      <c r="C397">
        <v>3</v>
      </c>
      <c r="D397" t="s">
        <v>86</v>
      </c>
      <c r="E397">
        <v>31589</v>
      </c>
      <c r="G397">
        <v>1</v>
      </c>
      <c r="H397">
        <v>72097476</v>
      </c>
      <c r="I397" t="s">
        <v>253</v>
      </c>
      <c r="J397">
        <v>0</v>
      </c>
      <c r="K397">
        <v>0</v>
      </c>
      <c r="L397">
        <v>0</v>
      </c>
      <c r="M397">
        <v>0</v>
      </c>
      <c r="N397">
        <v>0</v>
      </c>
      <c r="O397">
        <v>12.5</v>
      </c>
      <c r="P397">
        <v>0</v>
      </c>
      <c r="Q397">
        <v>0</v>
      </c>
      <c r="R397">
        <v>0</v>
      </c>
      <c r="S397">
        <v>0</v>
      </c>
      <c r="T397">
        <v>0</v>
      </c>
      <c r="U397">
        <v>0</v>
      </c>
      <c r="V397">
        <v>12.5</v>
      </c>
      <c r="W397" t="s">
        <v>492</v>
      </c>
      <c r="AK397" t="s">
        <v>669</v>
      </c>
    </row>
    <row r="398" spans="1:37" x14ac:dyDescent="0.25">
      <c r="A398" s="163">
        <v>46193</v>
      </c>
      <c r="B398" s="163">
        <v>46193</v>
      </c>
      <c r="C398">
        <v>3</v>
      </c>
      <c r="D398" t="s">
        <v>86</v>
      </c>
      <c r="E398">
        <v>31703</v>
      </c>
      <c r="G398">
        <v>1</v>
      </c>
      <c r="H398">
        <v>73806047</v>
      </c>
      <c r="I398" t="s">
        <v>964</v>
      </c>
      <c r="J398">
        <v>0</v>
      </c>
      <c r="K398">
        <v>0</v>
      </c>
      <c r="L398">
        <v>0</v>
      </c>
      <c r="M398">
        <v>0</v>
      </c>
      <c r="N398">
        <v>0</v>
      </c>
      <c r="O398">
        <v>95</v>
      </c>
      <c r="P398">
        <v>0</v>
      </c>
      <c r="Q398">
        <v>0</v>
      </c>
      <c r="R398">
        <v>0</v>
      </c>
      <c r="S398">
        <v>0</v>
      </c>
      <c r="T398">
        <v>0</v>
      </c>
      <c r="U398">
        <v>0</v>
      </c>
      <c r="V398">
        <v>95</v>
      </c>
      <c r="W398" t="s">
        <v>492</v>
      </c>
      <c r="AK398" t="s">
        <v>782</v>
      </c>
    </row>
    <row r="399" spans="1:37" x14ac:dyDescent="0.25">
      <c r="A399" s="163">
        <v>46183</v>
      </c>
      <c r="B399" s="163">
        <v>46183</v>
      </c>
      <c r="C399">
        <v>3</v>
      </c>
      <c r="D399" t="s">
        <v>86</v>
      </c>
      <c r="E399">
        <v>31570</v>
      </c>
      <c r="G399">
        <v>1</v>
      </c>
      <c r="H399">
        <v>47929727</v>
      </c>
      <c r="I399" t="s">
        <v>238</v>
      </c>
      <c r="J399">
        <v>0</v>
      </c>
      <c r="K399">
        <v>0</v>
      </c>
      <c r="L399">
        <v>0</v>
      </c>
      <c r="M399">
        <v>0</v>
      </c>
      <c r="N399">
        <v>0</v>
      </c>
      <c r="O399">
        <v>310</v>
      </c>
      <c r="P399">
        <v>0</v>
      </c>
      <c r="Q399">
        <v>0</v>
      </c>
      <c r="R399">
        <v>0</v>
      </c>
      <c r="S399">
        <v>0</v>
      </c>
      <c r="T399">
        <v>0</v>
      </c>
      <c r="U399">
        <v>0</v>
      </c>
      <c r="V399">
        <v>310</v>
      </c>
      <c r="W399" t="s">
        <v>492</v>
      </c>
      <c r="AK399" t="s">
        <v>649</v>
      </c>
    </row>
    <row r="400" spans="1:37" x14ac:dyDescent="0.25">
      <c r="A400" s="163">
        <v>46199</v>
      </c>
      <c r="B400" s="163">
        <v>46199</v>
      </c>
      <c r="C400">
        <v>3</v>
      </c>
      <c r="D400" t="s">
        <v>86</v>
      </c>
      <c r="E400">
        <v>31803</v>
      </c>
      <c r="G400">
        <v>1</v>
      </c>
      <c r="H400">
        <v>60905961</v>
      </c>
      <c r="I400" t="s">
        <v>419</v>
      </c>
      <c r="J400">
        <v>0</v>
      </c>
      <c r="K400">
        <v>0</v>
      </c>
      <c r="L400">
        <v>0</v>
      </c>
      <c r="M400">
        <v>0</v>
      </c>
      <c r="N400">
        <v>0</v>
      </c>
      <c r="O400">
        <v>33.700000000000003</v>
      </c>
      <c r="P400">
        <v>0</v>
      </c>
      <c r="Q400">
        <v>0</v>
      </c>
      <c r="R400">
        <v>0</v>
      </c>
      <c r="S400">
        <v>0</v>
      </c>
      <c r="T400">
        <v>0</v>
      </c>
      <c r="U400">
        <v>0</v>
      </c>
      <c r="V400">
        <v>33.700000000000003</v>
      </c>
      <c r="W400" t="s">
        <v>492</v>
      </c>
      <c r="AK400" t="s">
        <v>882</v>
      </c>
    </row>
    <row r="401" spans="1:37" x14ac:dyDescent="0.25">
      <c r="A401" s="163">
        <v>46197</v>
      </c>
      <c r="B401" s="163">
        <v>46197</v>
      </c>
      <c r="C401">
        <v>7</v>
      </c>
      <c r="D401" t="s">
        <v>87</v>
      </c>
      <c r="E401">
        <v>162</v>
      </c>
      <c r="G401">
        <v>1</v>
      </c>
      <c r="H401">
        <v>19970560</v>
      </c>
      <c r="I401" t="s">
        <v>389</v>
      </c>
      <c r="J401">
        <v>0</v>
      </c>
      <c r="K401">
        <v>0</v>
      </c>
      <c r="L401">
        <v>0</v>
      </c>
      <c r="M401">
        <v>0</v>
      </c>
      <c r="N401">
        <v>0</v>
      </c>
      <c r="O401">
        <v>-22.5</v>
      </c>
      <c r="P401">
        <v>0</v>
      </c>
      <c r="Q401">
        <v>0</v>
      </c>
      <c r="R401">
        <v>0</v>
      </c>
      <c r="S401">
        <v>0</v>
      </c>
      <c r="T401">
        <v>0</v>
      </c>
      <c r="U401">
        <v>0</v>
      </c>
      <c r="V401">
        <v>-22.5</v>
      </c>
      <c r="W401" t="s">
        <v>492</v>
      </c>
      <c r="Y401" s="163">
        <v>46197</v>
      </c>
      <c r="Z401">
        <v>3</v>
      </c>
      <c r="AA401" t="s">
        <v>86</v>
      </c>
      <c r="AB401">
        <v>31769</v>
      </c>
      <c r="AK401" t="s">
        <v>851</v>
      </c>
    </row>
    <row r="402" spans="1:37" x14ac:dyDescent="0.25">
      <c r="A402" s="163">
        <v>46199</v>
      </c>
      <c r="B402" s="163">
        <v>46199</v>
      </c>
      <c r="C402">
        <v>3</v>
      </c>
      <c r="D402" t="s">
        <v>86</v>
      </c>
      <c r="E402">
        <v>31804</v>
      </c>
      <c r="G402">
        <v>1</v>
      </c>
      <c r="H402">
        <v>73518584</v>
      </c>
      <c r="I402" t="s">
        <v>420</v>
      </c>
      <c r="J402">
        <v>0</v>
      </c>
      <c r="K402">
        <v>0</v>
      </c>
      <c r="L402">
        <v>0</v>
      </c>
      <c r="M402">
        <v>0</v>
      </c>
      <c r="N402">
        <v>0</v>
      </c>
      <c r="O402">
        <v>44.9</v>
      </c>
      <c r="P402">
        <v>0</v>
      </c>
      <c r="Q402">
        <v>0</v>
      </c>
      <c r="R402">
        <v>0</v>
      </c>
      <c r="S402">
        <v>0</v>
      </c>
      <c r="T402">
        <v>0</v>
      </c>
      <c r="U402">
        <v>0</v>
      </c>
      <c r="V402">
        <v>44.9</v>
      </c>
      <c r="W402" t="s">
        <v>492</v>
      </c>
      <c r="AK402" t="s">
        <v>883</v>
      </c>
    </row>
    <row r="403" spans="1:37" x14ac:dyDescent="0.25">
      <c r="A403" s="163">
        <v>46191</v>
      </c>
      <c r="B403" s="163">
        <v>46191</v>
      </c>
      <c r="C403">
        <v>3</v>
      </c>
      <c r="D403" t="s">
        <v>86</v>
      </c>
      <c r="E403">
        <v>31688</v>
      </c>
      <c r="G403">
        <v>1</v>
      </c>
      <c r="H403">
        <v>43865071</v>
      </c>
      <c r="I403" t="s">
        <v>326</v>
      </c>
      <c r="J403">
        <v>0</v>
      </c>
      <c r="K403">
        <v>0</v>
      </c>
      <c r="L403">
        <v>0</v>
      </c>
      <c r="M403">
        <v>0</v>
      </c>
      <c r="N403">
        <v>0</v>
      </c>
      <c r="O403">
        <v>70</v>
      </c>
      <c r="P403">
        <v>0</v>
      </c>
      <c r="Q403">
        <v>0</v>
      </c>
      <c r="R403">
        <v>0</v>
      </c>
      <c r="S403">
        <v>0</v>
      </c>
      <c r="T403">
        <v>0</v>
      </c>
      <c r="U403">
        <v>0</v>
      </c>
      <c r="V403">
        <v>70</v>
      </c>
      <c r="W403" t="s">
        <v>492</v>
      </c>
      <c r="AK403" t="s">
        <v>767</v>
      </c>
    </row>
    <row r="404" spans="1:37" x14ac:dyDescent="0.25">
      <c r="A404" s="163">
        <v>46182</v>
      </c>
      <c r="B404" s="163">
        <v>46182</v>
      </c>
      <c r="C404">
        <v>3</v>
      </c>
      <c r="D404" t="s">
        <v>86</v>
      </c>
      <c r="E404">
        <v>31546</v>
      </c>
      <c r="G404">
        <v>1</v>
      </c>
      <c r="H404">
        <v>48211183</v>
      </c>
      <c r="I404" t="s">
        <v>965</v>
      </c>
      <c r="J404">
        <v>0</v>
      </c>
      <c r="K404">
        <v>0</v>
      </c>
      <c r="L404">
        <v>0</v>
      </c>
      <c r="M404">
        <v>0</v>
      </c>
      <c r="N404">
        <v>0</v>
      </c>
      <c r="O404">
        <v>5</v>
      </c>
      <c r="P404">
        <v>0</v>
      </c>
      <c r="Q404">
        <v>0</v>
      </c>
      <c r="R404">
        <v>0</v>
      </c>
      <c r="S404">
        <v>0</v>
      </c>
      <c r="T404">
        <v>0</v>
      </c>
      <c r="U404">
        <v>0</v>
      </c>
      <c r="V404">
        <v>5</v>
      </c>
      <c r="W404" t="s">
        <v>492</v>
      </c>
      <c r="AK404" t="s">
        <v>628</v>
      </c>
    </row>
    <row r="405" spans="1:37" x14ac:dyDescent="0.25">
      <c r="A405" s="163">
        <v>46186</v>
      </c>
      <c r="B405" s="163">
        <v>46186</v>
      </c>
      <c r="C405">
        <v>3</v>
      </c>
      <c r="D405" t="s">
        <v>86</v>
      </c>
      <c r="E405">
        <v>31604</v>
      </c>
      <c r="G405">
        <v>6</v>
      </c>
      <c r="H405">
        <v>20518164717</v>
      </c>
      <c r="I405" t="s">
        <v>118</v>
      </c>
      <c r="J405">
        <v>0</v>
      </c>
      <c r="K405">
        <v>0</v>
      </c>
      <c r="L405">
        <v>0</v>
      </c>
      <c r="M405">
        <v>0</v>
      </c>
      <c r="N405">
        <v>0</v>
      </c>
      <c r="O405">
        <v>13</v>
      </c>
      <c r="P405">
        <v>0</v>
      </c>
      <c r="Q405">
        <v>0</v>
      </c>
      <c r="R405">
        <v>0</v>
      </c>
      <c r="S405">
        <v>0</v>
      </c>
      <c r="T405">
        <v>0</v>
      </c>
      <c r="U405">
        <v>0</v>
      </c>
      <c r="V405">
        <v>13</v>
      </c>
      <c r="W405" t="s">
        <v>492</v>
      </c>
      <c r="AK405" t="s">
        <v>683</v>
      </c>
    </row>
    <row r="406" spans="1:37" x14ac:dyDescent="0.25">
      <c r="A406" s="163">
        <v>46199</v>
      </c>
      <c r="B406" s="163">
        <v>46199</v>
      </c>
      <c r="C406">
        <v>3</v>
      </c>
      <c r="D406" t="s">
        <v>86</v>
      </c>
      <c r="E406">
        <v>31800</v>
      </c>
      <c r="G406">
        <v>1</v>
      </c>
      <c r="H406">
        <v>72514468</v>
      </c>
      <c r="I406" t="s">
        <v>417</v>
      </c>
      <c r="J406">
        <v>0</v>
      </c>
      <c r="K406">
        <v>0</v>
      </c>
      <c r="L406">
        <v>0</v>
      </c>
      <c r="M406">
        <v>0</v>
      </c>
      <c r="N406">
        <v>0</v>
      </c>
      <c r="O406">
        <v>50</v>
      </c>
      <c r="P406">
        <v>0</v>
      </c>
      <c r="Q406">
        <v>0</v>
      </c>
      <c r="R406">
        <v>0</v>
      </c>
      <c r="S406">
        <v>0</v>
      </c>
      <c r="T406">
        <v>0</v>
      </c>
      <c r="U406">
        <v>0</v>
      </c>
      <c r="V406">
        <v>50</v>
      </c>
      <c r="W406" t="s">
        <v>492</v>
      </c>
      <c r="AK406" t="s">
        <v>879</v>
      </c>
    </row>
    <row r="407" spans="1:37" x14ac:dyDescent="0.25">
      <c r="A407" s="163">
        <v>46190</v>
      </c>
      <c r="B407" s="163">
        <v>46190</v>
      </c>
      <c r="C407">
        <v>3</v>
      </c>
      <c r="D407" t="s">
        <v>86</v>
      </c>
      <c r="E407">
        <v>31665</v>
      </c>
      <c r="G407">
        <v>1</v>
      </c>
      <c r="H407">
        <v>21267065</v>
      </c>
      <c r="I407" t="s">
        <v>308</v>
      </c>
      <c r="J407">
        <v>0</v>
      </c>
      <c r="K407">
        <v>0</v>
      </c>
      <c r="L407">
        <v>0</v>
      </c>
      <c r="M407">
        <v>0</v>
      </c>
      <c r="N407">
        <v>0</v>
      </c>
      <c r="O407">
        <v>25</v>
      </c>
      <c r="P407">
        <v>0</v>
      </c>
      <c r="Q407">
        <v>0</v>
      </c>
      <c r="R407">
        <v>0</v>
      </c>
      <c r="S407">
        <v>0</v>
      </c>
      <c r="T407">
        <v>0</v>
      </c>
      <c r="U407">
        <v>0</v>
      </c>
      <c r="V407">
        <v>25</v>
      </c>
      <c r="W407" t="s">
        <v>492</v>
      </c>
      <c r="AK407" t="s">
        <v>744</v>
      </c>
    </row>
    <row r="408" spans="1:37" x14ac:dyDescent="0.25">
      <c r="A408" s="163">
        <v>46193</v>
      </c>
      <c r="B408" s="163">
        <v>46193</v>
      </c>
      <c r="C408">
        <v>3</v>
      </c>
      <c r="D408" t="s">
        <v>86</v>
      </c>
      <c r="E408">
        <v>31701</v>
      </c>
      <c r="G408">
        <v>1</v>
      </c>
      <c r="H408">
        <v>46459977</v>
      </c>
      <c r="I408" t="s">
        <v>338</v>
      </c>
      <c r="J408">
        <v>0</v>
      </c>
      <c r="K408">
        <v>0</v>
      </c>
      <c r="L408">
        <v>0</v>
      </c>
      <c r="M408">
        <v>0</v>
      </c>
      <c r="N408">
        <v>0</v>
      </c>
      <c r="O408">
        <v>17.5</v>
      </c>
      <c r="P408">
        <v>0</v>
      </c>
      <c r="Q408">
        <v>0</v>
      </c>
      <c r="R408">
        <v>0</v>
      </c>
      <c r="S408">
        <v>0</v>
      </c>
      <c r="T408">
        <v>0</v>
      </c>
      <c r="U408">
        <v>0</v>
      </c>
      <c r="V408">
        <v>17.5</v>
      </c>
      <c r="W408" t="s">
        <v>492</v>
      </c>
      <c r="AK408" t="s">
        <v>780</v>
      </c>
    </row>
    <row r="409" spans="1:37" x14ac:dyDescent="0.25">
      <c r="A409" s="163">
        <v>46177</v>
      </c>
      <c r="B409" s="163">
        <v>46177</v>
      </c>
      <c r="C409">
        <v>3</v>
      </c>
      <c r="D409" t="s">
        <v>86</v>
      </c>
      <c r="E409">
        <v>31481</v>
      </c>
      <c r="G409">
        <v>1</v>
      </c>
      <c r="H409">
        <v>71807250</v>
      </c>
      <c r="I409" t="s">
        <v>966</v>
      </c>
      <c r="J409">
        <v>0</v>
      </c>
      <c r="K409">
        <v>0</v>
      </c>
      <c r="L409">
        <v>0</v>
      </c>
      <c r="M409">
        <v>0</v>
      </c>
      <c r="N409">
        <v>0</v>
      </c>
      <c r="O409">
        <v>15</v>
      </c>
      <c r="P409">
        <v>0</v>
      </c>
      <c r="Q409">
        <v>0</v>
      </c>
      <c r="R409">
        <v>0</v>
      </c>
      <c r="S409">
        <v>0</v>
      </c>
      <c r="T409">
        <v>0</v>
      </c>
      <c r="U409">
        <v>0</v>
      </c>
      <c r="V409">
        <v>15</v>
      </c>
      <c r="W409" t="s">
        <v>492</v>
      </c>
      <c r="AK409" t="s">
        <v>563</v>
      </c>
    </row>
    <row r="410" spans="1:37" x14ac:dyDescent="0.25">
      <c r="A410" s="163">
        <v>46192</v>
      </c>
      <c r="B410" s="163">
        <v>46192</v>
      </c>
      <c r="C410">
        <v>3</v>
      </c>
      <c r="D410" t="s">
        <v>86</v>
      </c>
      <c r="E410">
        <v>31693</v>
      </c>
      <c r="G410">
        <v>1</v>
      </c>
      <c r="H410">
        <v>40959946</v>
      </c>
      <c r="I410" t="s">
        <v>330</v>
      </c>
      <c r="J410">
        <v>0</v>
      </c>
      <c r="K410">
        <v>0</v>
      </c>
      <c r="L410">
        <v>0</v>
      </c>
      <c r="M410">
        <v>0</v>
      </c>
      <c r="N410">
        <v>0</v>
      </c>
      <c r="O410">
        <v>50</v>
      </c>
      <c r="P410">
        <v>0</v>
      </c>
      <c r="Q410">
        <v>0</v>
      </c>
      <c r="R410">
        <v>0</v>
      </c>
      <c r="S410">
        <v>0</v>
      </c>
      <c r="T410">
        <v>0</v>
      </c>
      <c r="U410">
        <v>0</v>
      </c>
      <c r="V410">
        <v>50</v>
      </c>
      <c r="W410" t="s">
        <v>492</v>
      </c>
      <c r="AK410" t="s">
        <v>772</v>
      </c>
    </row>
    <row r="411" spans="1:37" x14ac:dyDescent="0.25">
      <c r="A411" s="163">
        <v>46184</v>
      </c>
      <c r="B411" s="163">
        <v>46184</v>
      </c>
      <c r="C411">
        <v>3</v>
      </c>
      <c r="D411" t="s">
        <v>86</v>
      </c>
      <c r="E411">
        <v>31579</v>
      </c>
      <c r="G411">
        <v>6</v>
      </c>
      <c r="H411">
        <v>20603590687</v>
      </c>
      <c r="I411" t="s">
        <v>137</v>
      </c>
      <c r="J411">
        <v>0</v>
      </c>
      <c r="K411">
        <v>0</v>
      </c>
      <c r="L411">
        <v>0</v>
      </c>
      <c r="M411">
        <v>0</v>
      </c>
      <c r="N411">
        <v>0</v>
      </c>
      <c r="O411">
        <v>20</v>
      </c>
      <c r="P411">
        <v>0</v>
      </c>
      <c r="Q411">
        <v>0</v>
      </c>
      <c r="R411">
        <v>0</v>
      </c>
      <c r="S411">
        <v>0</v>
      </c>
      <c r="T411">
        <v>0</v>
      </c>
      <c r="U411">
        <v>0</v>
      </c>
      <c r="V411">
        <v>20</v>
      </c>
      <c r="W411" t="s">
        <v>492</v>
      </c>
      <c r="AK411" t="s">
        <v>658</v>
      </c>
    </row>
    <row r="412" spans="1:37" x14ac:dyDescent="0.25">
      <c r="A412" s="163">
        <v>46183</v>
      </c>
      <c r="B412" s="163">
        <v>46183</v>
      </c>
      <c r="C412">
        <v>3</v>
      </c>
      <c r="D412" t="s">
        <v>86</v>
      </c>
      <c r="E412">
        <v>31569</v>
      </c>
      <c r="G412">
        <v>1</v>
      </c>
      <c r="H412">
        <v>44528357</v>
      </c>
      <c r="I412" t="s">
        <v>237</v>
      </c>
      <c r="J412">
        <v>0</v>
      </c>
      <c r="K412">
        <v>0</v>
      </c>
      <c r="L412">
        <v>0</v>
      </c>
      <c r="M412">
        <v>0</v>
      </c>
      <c r="N412">
        <v>0</v>
      </c>
      <c r="O412">
        <v>66.3</v>
      </c>
      <c r="P412">
        <v>0</v>
      </c>
      <c r="Q412">
        <v>0</v>
      </c>
      <c r="R412">
        <v>0</v>
      </c>
      <c r="S412">
        <v>0</v>
      </c>
      <c r="T412">
        <v>0</v>
      </c>
      <c r="U412">
        <v>0</v>
      </c>
      <c r="V412">
        <v>66.3</v>
      </c>
      <c r="W412" t="s">
        <v>492</v>
      </c>
      <c r="AK412" t="s">
        <v>648</v>
      </c>
    </row>
    <row r="413" spans="1:37" x14ac:dyDescent="0.25">
      <c r="A413" s="163">
        <v>46192</v>
      </c>
      <c r="B413" s="163">
        <v>46192</v>
      </c>
      <c r="C413">
        <v>3</v>
      </c>
      <c r="D413" t="s">
        <v>86</v>
      </c>
      <c r="E413">
        <v>31699</v>
      </c>
      <c r="G413">
        <v>1</v>
      </c>
      <c r="H413">
        <v>44263354</v>
      </c>
      <c r="I413" t="s">
        <v>336</v>
      </c>
      <c r="J413">
        <v>0</v>
      </c>
      <c r="K413">
        <v>0</v>
      </c>
      <c r="L413">
        <v>0</v>
      </c>
      <c r="M413">
        <v>0</v>
      </c>
      <c r="N413">
        <v>0</v>
      </c>
      <c r="O413">
        <v>45</v>
      </c>
      <c r="P413">
        <v>0</v>
      </c>
      <c r="Q413">
        <v>0</v>
      </c>
      <c r="R413">
        <v>0</v>
      </c>
      <c r="S413">
        <v>0</v>
      </c>
      <c r="T413">
        <v>0</v>
      </c>
      <c r="U413">
        <v>0</v>
      </c>
      <c r="V413">
        <v>45</v>
      </c>
      <c r="W413" t="s">
        <v>492</v>
      </c>
      <c r="AK413" t="s">
        <v>778</v>
      </c>
    </row>
    <row r="414" spans="1:37" x14ac:dyDescent="0.25">
      <c r="A414" s="163">
        <v>46184</v>
      </c>
      <c r="B414" s="163">
        <v>46184</v>
      </c>
      <c r="C414">
        <v>3</v>
      </c>
      <c r="D414" t="s">
        <v>86</v>
      </c>
      <c r="E414">
        <v>31588</v>
      </c>
      <c r="G414">
        <v>1</v>
      </c>
      <c r="H414">
        <v>43661452</v>
      </c>
      <c r="I414" t="s">
        <v>252</v>
      </c>
      <c r="J414">
        <v>0</v>
      </c>
      <c r="K414">
        <v>0</v>
      </c>
      <c r="L414">
        <v>0</v>
      </c>
      <c r="M414">
        <v>0</v>
      </c>
      <c r="N414">
        <v>0</v>
      </c>
      <c r="O414">
        <v>20</v>
      </c>
      <c r="P414">
        <v>0</v>
      </c>
      <c r="Q414">
        <v>0</v>
      </c>
      <c r="R414">
        <v>0</v>
      </c>
      <c r="S414">
        <v>0</v>
      </c>
      <c r="T414">
        <v>0</v>
      </c>
      <c r="U414">
        <v>0</v>
      </c>
      <c r="V414">
        <v>20</v>
      </c>
      <c r="W414" t="s">
        <v>492</v>
      </c>
      <c r="AK414" t="s">
        <v>668</v>
      </c>
    </row>
    <row r="415" spans="1:37" x14ac:dyDescent="0.25">
      <c r="A415" s="163">
        <v>46185</v>
      </c>
      <c r="B415" s="163">
        <v>46185</v>
      </c>
      <c r="C415">
        <v>3</v>
      </c>
      <c r="D415" t="s">
        <v>86</v>
      </c>
      <c r="E415">
        <v>31592</v>
      </c>
      <c r="G415">
        <v>1</v>
      </c>
      <c r="H415">
        <v>78654770</v>
      </c>
      <c r="I415" t="s">
        <v>967</v>
      </c>
      <c r="J415">
        <v>0</v>
      </c>
      <c r="K415">
        <v>0</v>
      </c>
      <c r="L415">
        <v>0</v>
      </c>
      <c r="M415">
        <v>0</v>
      </c>
      <c r="N415">
        <v>0</v>
      </c>
      <c r="O415">
        <v>96.5</v>
      </c>
      <c r="P415">
        <v>0</v>
      </c>
      <c r="Q415">
        <v>0</v>
      </c>
      <c r="R415">
        <v>0</v>
      </c>
      <c r="S415">
        <v>0</v>
      </c>
      <c r="T415">
        <v>0</v>
      </c>
      <c r="U415">
        <v>0</v>
      </c>
      <c r="V415">
        <v>96.5</v>
      </c>
      <c r="W415" t="s">
        <v>492</v>
      </c>
      <c r="AK415" t="s">
        <v>672</v>
      </c>
    </row>
    <row r="416" spans="1:37" x14ac:dyDescent="0.25">
      <c r="A416" s="163">
        <v>46184</v>
      </c>
      <c r="B416" s="163">
        <v>46184</v>
      </c>
      <c r="C416">
        <v>7</v>
      </c>
      <c r="D416" t="s">
        <v>87</v>
      </c>
      <c r="E416">
        <v>157</v>
      </c>
      <c r="G416">
        <v>1</v>
      </c>
      <c r="H416">
        <v>47846371</v>
      </c>
      <c r="I416" t="s">
        <v>249</v>
      </c>
      <c r="J416">
        <v>0</v>
      </c>
      <c r="K416">
        <v>0</v>
      </c>
      <c r="L416">
        <v>0</v>
      </c>
      <c r="M416">
        <v>0</v>
      </c>
      <c r="N416">
        <v>0</v>
      </c>
      <c r="O416">
        <v>-22.4</v>
      </c>
      <c r="P416">
        <v>0</v>
      </c>
      <c r="Q416">
        <v>0</v>
      </c>
      <c r="R416">
        <v>0</v>
      </c>
      <c r="S416">
        <v>0</v>
      </c>
      <c r="T416">
        <v>0</v>
      </c>
      <c r="U416">
        <v>0</v>
      </c>
      <c r="V416">
        <v>-22.4</v>
      </c>
      <c r="W416" t="s">
        <v>492</v>
      </c>
      <c r="Y416" s="163">
        <v>46184</v>
      </c>
      <c r="Z416">
        <v>3</v>
      </c>
      <c r="AA416" t="s">
        <v>86</v>
      </c>
      <c r="AB416">
        <v>31584</v>
      </c>
      <c r="AK416" t="s">
        <v>664</v>
      </c>
    </row>
    <row r="417" spans="1:37" x14ac:dyDescent="0.25">
      <c r="A417" s="163">
        <v>46190</v>
      </c>
      <c r="B417" s="163">
        <v>46190</v>
      </c>
      <c r="C417">
        <v>3</v>
      </c>
      <c r="D417" t="s">
        <v>86</v>
      </c>
      <c r="E417">
        <v>31664</v>
      </c>
      <c r="G417">
        <v>1</v>
      </c>
      <c r="H417">
        <v>45657648</v>
      </c>
      <c r="I417" t="s">
        <v>307</v>
      </c>
      <c r="J417">
        <v>0</v>
      </c>
      <c r="K417">
        <v>0</v>
      </c>
      <c r="L417">
        <v>0</v>
      </c>
      <c r="M417">
        <v>0</v>
      </c>
      <c r="N417">
        <v>0</v>
      </c>
      <c r="O417">
        <v>18.399999999999999</v>
      </c>
      <c r="P417">
        <v>0</v>
      </c>
      <c r="Q417">
        <v>0</v>
      </c>
      <c r="R417">
        <v>0</v>
      </c>
      <c r="S417">
        <v>0</v>
      </c>
      <c r="T417">
        <v>0</v>
      </c>
      <c r="U417">
        <v>0</v>
      </c>
      <c r="V417">
        <v>18.399999999999999</v>
      </c>
      <c r="W417" t="s">
        <v>492</v>
      </c>
      <c r="AK417" t="s">
        <v>743</v>
      </c>
    </row>
    <row r="418" spans="1:37" x14ac:dyDescent="0.25">
      <c r="A418" s="163">
        <v>46198</v>
      </c>
      <c r="B418" s="163">
        <v>46198</v>
      </c>
      <c r="C418">
        <v>3</v>
      </c>
      <c r="D418" t="s">
        <v>86</v>
      </c>
      <c r="E418">
        <v>31772</v>
      </c>
      <c r="G418">
        <v>6</v>
      </c>
      <c r="H418">
        <v>20603590687</v>
      </c>
      <c r="I418" t="s">
        <v>137</v>
      </c>
      <c r="J418">
        <v>0</v>
      </c>
      <c r="K418">
        <v>0</v>
      </c>
      <c r="L418">
        <v>0</v>
      </c>
      <c r="M418">
        <v>0</v>
      </c>
      <c r="N418">
        <v>0</v>
      </c>
      <c r="O418">
        <v>10</v>
      </c>
      <c r="P418">
        <v>0</v>
      </c>
      <c r="Q418">
        <v>0</v>
      </c>
      <c r="R418">
        <v>0</v>
      </c>
      <c r="S418">
        <v>0</v>
      </c>
      <c r="T418">
        <v>0</v>
      </c>
      <c r="U418">
        <v>0</v>
      </c>
      <c r="V418">
        <v>10</v>
      </c>
      <c r="W418" t="s">
        <v>492</v>
      </c>
      <c r="AK418" t="s">
        <v>853</v>
      </c>
    </row>
    <row r="419" spans="1:37" x14ac:dyDescent="0.25">
      <c r="A419" s="163">
        <v>46184</v>
      </c>
      <c r="B419" s="163">
        <v>46184</v>
      </c>
      <c r="C419">
        <v>3</v>
      </c>
      <c r="D419" t="s">
        <v>86</v>
      </c>
      <c r="E419">
        <v>31580</v>
      </c>
      <c r="G419">
        <v>1</v>
      </c>
      <c r="H419">
        <v>76614190</v>
      </c>
      <c r="I419" t="s">
        <v>246</v>
      </c>
      <c r="J419">
        <v>0</v>
      </c>
      <c r="K419">
        <v>0</v>
      </c>
      <c r="L419">
        <v>0</v>
      </c>
      <c r="M419">
        <v>0</v>
      </c>
      <c r="N419">
        <v>0</v>
      </c>
      <c r="O419">
        <v>62.2</v>
      </c>
      <c r="P419">
        <v>0</v>
      </c>
      <c r="Q419">
        <v>0</v>
      </c>
      <c r="R419">
        <v>0</v>
      </c>
      <c r="S419">
        <v>0</v>
      </c>
      <c r="T419">
        <v>0</v>
      </c>
      <c r="U419">
        <v>0</v>
      </c>
      <c r="V419">
        <v>62.2</v>
      </c>
      <c r="W419" t="s">
        <v>492</v>
      </c>
      <c r="AK419" t="s">
        <v>659</v>
      </c>
    </row>
    <row r="420" spans="1:37" x14ac:dyDescent="0.25">
      <c r="A420" s="163">
        <v>46185</v>
      </c>
      <c r="B420" s="163">
        <v>46185</v>
      </c>
      <c r="C420">
        <v>3</v>
      </c>
      <c r="D420" t="s">
        <v>86</v>
      </c>
      <c r="E420">
        <v>31591</v>
      </c>
      <c r="G420">
        <v>6</v>
      </c>
      <c r="H420">
        <v>20568173016</v>
      </c>
      <c r="I420" t="s">
        <v>116</v>
      </c>
      <c r="J420">
        <v>0</v>
      </c>
      <c r="K420">
        <v>0</v>
      </c>
      <c r="L420">
        <v>0</v>
      </c>
      <c r="M420">
        <v>0</v>
      </c>
      <c r="N420">
        <v>0</v>
      </c>
      <c r="O420">
        <v>19.899999999999999</v>
      </c>
      <c r="P420">
        <v>0</v>
      </c>
      <c r="Q420">
        <v>0</v>
      </c>
      <c r="R420">
        <v>0</v>
      </c>
      <c r="S420">
        <v>0</v>
      </c>
      <c r="T420">
        <v>0</v>
      </c>
      <c r="U420">
        <v>0</v>
      </c>
      <c r="V420">
        <v>19.899999999999999</v>
      </c>
      <c r="W420" t="s">
        <v>492</v>
      </c>
      <c r="AK420" t="s">
        <v>671</v>
      </c>
    </row>
    <row r="421" spans="1:37" x14ac:dyDescent="0.25">
      <c r="A421" s="163">
        <v>46184</v>
      </c>
      <c r="B421" s="163">
        <v>46184</v>
      </c>
      <c r="C421">
        <v>3</v>
      </c>
      <c r="D421" t="s">
        <v>86</v>
      </c>
      <c r="E421">
        <v>31590</v>
      </c>
      <c r="G421">
        <v>1</v>
      </c>
      <c r="H421">
        <v>20433530</v>
      </c>
      <c r="I421" t="s">
        <v>139</v>
      </c>
      <c r="J421">
        <v>0</v>
      </c>
      <c r="K421">
        <v>0</v>
      </c>
      <c r="L421">
        <v>0</v>
      </c>
      <c r="M421">
        <v>0</v>
      </c>
      <c r="N421">
        <v>0</v>
      </c>
      <c r="O421">
        <v>15</v>
      </c>
      <c r="P421">
        <v>0</v>
      </c>
      <c r="Q421">
        <v>0</v>
      </c>
      <c r="R421">
        <v>0</v>
      </c>
      <c r="S421">
        <v>0</v>
      </c>
      <c r="T421">
        <v>0</v>
      </c>
      <c r="U421">
        <v>0</v>
      </c>
      <c r="V421">
        <v>15</v>
      </c>
      <c r="W421" t="s">
        <v>492</v>
      </c>
      <c r="AK421" t="s">
        <v>670</v>
      </c>
    </row>
    <row r="422" spans="1:37" x14ac:dyDescent="0.25">
      <c r="A422" s="163">
        <v>46182</v>
      </c>
      <c r="B422" s="163">
        <v>46182</v>
      </c>
      <c r="C422">
        <v>3</v>
      </c>
      <c r="D422" t="s">
        <v>86</v>
      </c>
      <c r="E422">
        <v>31543</v>
      </c>
      <c r="G422">
        <v>6</v>
      </c>
      <c r="H422">
        <v>20611305878</v>
      </c>
      <c r="I422" t="s">
        <v>196</v>
      </c>
      <c r="J422">
        <v>0</v>
      </c>
      <c r="K422">
        <v>0</v>
      </c>
      <c r="L422">
        <v>0</v>
      </c>
      <c r="M422">
        <v>0</v>
      </c>
      <c r="N422">
        <v>0</v>
      </c>
      <c r="O422">
        <v>250</v>
      </c>
      <c r="P422">
        <v>0</v>
      </c>
      <c r="Q422">
        <v>0</v>
      </c>
      <c r="R422">
        <v>0</v>
      </c>
      <c r="S422">
        <v>0</v>
      </c>
      <c r="T422">
        <v>0</v>
      </c>
      <c r="U422">
        <v>0</v>
      </c>
      <c r="V422">
        <v>250</v>
      </c>
      <c r="W422" t="s">
        <v>492</v>
      </c>
      <c r="AK422" t="s">
        <v>625</v>
      </c>
    </row>
    <row r="423" spans="1:37" x14ac:dyDescent="0.25">
      <c r="A423" s="163">
        <v>46198</v>
      </c>
      <c r="B423" s="163">
        <v>46198</v>
      </c>
      <c r="C423">
        <v>3</v>
      </c>
      <c r="D423" t="s">
        <v>86</v>
      </c>
      <c r="E423">
        <v>31778</v>
      </c>
      <c r="G423">
        <v>1</v>
      </c>
      <c r="H423">
        <v>60146613</v>
      </c>
      <c r="I423" t="s">
        <v>396</v>
      </c>
      <c r="J423">
        <v>0</v>
      </c>
      <c r="K423">
        <v>0</v>
      </c>
      <c r="L423">
        <v>0</v>
      </c>
      <c r="M423">
        <v>0</v>
      </c>
      <c r="N423">
        <v>0</v>
      </c>
      <c r="O423">
        <v>64.900000000000006</v>
      </c>
      <c r="P423">
        <v>0</v>
      </c>
      <c r="Q423">
        <v>0</v>
      </c>
      <c r="R423">
        <v>0</v>
      </c>
      <c r="S423">
        <v>0</v>
      </c>
      <c r="T423">
        <v>0</v>
      </c>
      <c r="U423">
        <v>0</v>
      </c>
      <c r="V423">
        <v>64.900000000000006</v>
      </c>
      <c r="W423" t="s">
        <v>492</v>
      </c>
      <c r="AK423" t="s">
        <v>858</v>
      </c>
    </row>
    <row r="424" spans="1:37" x14ac:dyDescent="0.25">
      <c r="A424" s="163">
        <v>46190</v>
      </c>
      <c r="B424" s="163">
        <v>46190</v>
      </c>
      <c r="C424">
        <v>3</v>
      </c>
      <c r="D424" t="s">
        <v>86</v>
      </c>
      <c r="E424">
        <v>31662</v>
      </c>
      <c r="G424">
        <v>6</v>
      </c>
      <c r="H424">
        <v>20602434631</v>
      </c>
      <c r="I424" t="s">
        <v>306</v>
      </c>
      <c r="J424">
        <v>0</v>
      </c>
      <c r="K424">
        <v>0</v>
      </c>
      <c r="L424">
        <v>0</v>
      </c>
      <c r="M424">
        <v>0</v>
      </c>
      <c r="N424">
        <v>0</v>
      </c>
      <c r="O424">
        <v>75</v>
      </c>
      <c r="P424">
        <v>0</v>
      </c>
      <c r="Q424">
        <v>0</v>
      </c>
      <c r="R424">
        <v>0</v>
      </c>
      <c r="S424">
        <v>0</v>
      </c>
      <c r="T424">
        <v>0</v>
      </c>
      <c r="U424">
        <v>0</v>
      </c>
      <c r="V424">
        <v>75</v>
      </c>
      <c r="W424" t="s">
        <v>492</v>
      </c>
      <c r="AK424" t="s">
        <v>741</v>
      </c>
    </row>
    <row r="425" spans="1:37" x14ac:dyDescent="0.25">
      <c r="A425" s="163">
        <v>46199</v>
      </c>
      <c r="B425" s="163">
        <v>46199</v>
      </c>
      <c r="C425">
        <v>3</v>
      </c>
      <c r="D425" t="s">
        <v>86</v>
      </c>
      <c r="E425">
        <v>31801</v>
      </c>
      <c r="G425">
        <v>1</v>
      </c>
      <c r="H425">
        <v>48226893</v>
      </c>
      <c r="I425" t="s">
        <v>418</v>
      </c>
      <c r="J425">
        <v>0</v>
      </c>
      <c r="K425">
        <v>0</v>
      </c>
      <c r="L425">
        <v>0</v>
      </c>
      <c r="M425">
        <v>0</v>
      </c>
      <c r="N425">
        <v>0</v>
      </c>
      <c r="O425">
        <v>73.2</v>
      </c>
      <c r="P425">
        <v>0</v>
      </c>
      <c r="Q425">
        <v>0</v>
      </c>
      <c r="R425">
        <v>0</v>
      </c>
      <c r="S425">
        <v>0</v>
      </c>
      <c r="T425">
        <v>0</v>
      </c>
      <c r="U425">
        <v>0</v>
      </c>
      <c r="V425">
        <v>73.2</v>
      </c>
      <c r="W425" t="s">
        <v>492</v>
      </c>
      <c r="AK425" t="s">
        <v>880</v>
      </c>
    </row>
    <row r="426" spans="1:37" x14ac:dyDescent="0.25">
      <c r="A426" s="163">
        <v>46198</v>
      </c>
      <c r="B426" s="163">
        <v>46198</v>
      </c>
      <c r="C426">
        <v>3</v>
      </c>
      <c r="D426" t="s">
        <v>86</v>
      </c>
      <c r="E426">
        <v>31779</v>
      </c>
      <c r="G426">
        <v>1</v>
      </c>
      <c r="H426">
        <v>23462873</v>
      </c>
      <c r="I426" t="s">
        <v>397</v>
      </c>
      <c r="J426">
        <v>0</v>
      </c>
      <c r="K426">
        <v>0</v>
      </c>
      <c r="L426">
        <v>0</v>
      </c>
      <c r="M426">
        <v>0</v>
      </c>
      <c r="N426">
        <v>0</v>
      </c>
      <c r="O426">
        <v>93.4</v>
      </c>
      <c r="P426">
        <v>0</v>
      </c>
      <c r="Q426">
        <v>0</v>
      </c>
      <c r="R426">
        <v>0</v>
      </c>
      <c r="S426">
        <v>0</v>
      </c>
      <c r="T426">
        <v>0</v>
      </c>
      <c r="U426">
        <v>0</v>
      </c>
      <c r="V426">
        <v>93.4</v>
      </c>
      <c r="W426" t="s">
        <v>492</v>
      </c>
      <c r="AK426" t="s">
        <v>859</v>
      </c>
    </row>
    <row r="427" spans="1:37" x14ac:dyDescent="0.25">
      <c r="A427" s="163">
        <v>46199</v>
      </c>
      <c r="B427" s="163">
        <v>46199</v>
      </c>
      <c r="C427">
        <v>3</v>
      </c>
      <c r="D427" t="s">
        <v>86</v>
      </c>
      <c r="E427">
        <v>31795</v>
      </c>
      <c r="G427">
        <v>1</v>
      </c>
      <c r="H427">
        <v>21281916</v>
      </c>
      <c r="I427" t="s">
        <v>412</v>
      </c>
      <c r="J427">
        <v>0</v>
      </c>
      <c r="K427">
        <v>0</v>
      </c>
      <c r="L427">
        <v>0</v>
      </c>
      <c r="M427">
        <v>0</v>
      </c>
      <c r="N427">
        <v>0</v>
      </c>
      <c r="O427">
        <v>20</v>
      </c>
      <c r="P427">
        <v>0</v>
      </c>
      <c r="Q427">
        <v>0</v>
      </c>
      <c r="R427">
        <v>0</v>
      </c>
      <c r="S427">
        <v>0</v>
      </c>
      <c r="T427">
        <v>0</v>
      </c>
      <c r="U427">
        <v>0</v>
      </c>
      <c r="V427">
        <v>20</v>
      </c>
      <c r="W427" t="s">
        <v>492</v>
      </c>
      <c r="AK427" t="s">
        <v>875</v>
      </c>
    </row>
    <row r="428" spans="1:37" x14ac:dyDescent="0.25">
      <c r="A428" s="163">
        <v>46198</v>
      </c>
      <c r="B428" s="163">
        <v>46198</v>
      </c>
      <c r="C428">
        <v>3</v>
      </c>
      <c r="D428" t="s">
        <v>86</v>
      </c>
      <c r="E428">
        <v>31780</v>
      </c>
      <c r="G428">
        <v>1</v>
      </c>
      <c r="H428">
        <v>20098034</v>
      </c>
      <c r="I428" t="s">
        <v>398</v>
      </c>
      <c r="J428">
        <v>0</v>
      </c>
      <c r="K428">
        <v>0</v>
      </c>
      <c r="L428">
        <v>0</v>
      </c>
      <c r="M428">
        <v>0</v>
      </c>
      <c r="N428">
        <v>0</v>
      </c>
      <c r="O428">
        <v>50</v>
      </c>
      <c r="P428">
        <v>0</v>
      </c>
      <c r="Q428">
        <v>0</v>
      </c>
      <c r="R428">
        <v>0</v>
      </c>
      <c r="S428">
        <v>0</v>
      </c>
      <c r="T428">
        <v>0</v>
      </c>
      <c r="U428">
        <v>0</v>
      </c>
      <c r="V428">
        <v>50</v>
      </c>
      <c r="W428" t="s">
        <v>492</v>
      </c>
      <c r="AK428" t="s">
        <v>860</v>
      </c>
    </row>
    <row r="429" spans="1:37" x14ac:dyDescent="0.25">
      <c r="A429" s="163">
        <v>46184</v>
      </c>
      <c r="B429" s="163">
        <v>46184</v>
      </c>
      <c r="C429">
        <v>3</v>
      </c>
      <c r="D429" t="s">
        <v>86</v>
      </c>
      <c r="E429">
        <v>31587</v>
      </c>
      <c r="G429">
        <v>1</v>
      </c>
      <c r="H429">
        <v>45114993</v>
      </c>
      <c r="I429" t="s">
        <v>968</v>
      </c>
      <c r="J429">
        <v>0</v>
      </c>
      <c r="K429">
        <v>0</v>
      </c>
      <c r="L429">
        <v>0</v>
      </c>
      <c r="M429">
        <v>0</v>
      </c>
      <c r="N429">
        <v>0</v>
      </c>
      <c r="O429">
        <v>10</v>
      </c>
      <c r="P429">
        <v>0</v>
      </c>
      <c r="Q429">
        <v>0</v>
      </c>
      <c r="R429">
        <v>0</v>
      </c>
      <c r="S429">
        <v>0</v>
      </c>
      <c r="T429">
        <v>0</v>
      </c>
      <c r="U429">
        <v>0</v>
      </c>
      <c r="V429">
        <v>10</v>
      </c>
      <c r="W429" t="s">
        <v>492</v>
      </c>
      <c r="AK429" t="s">
        <v>667</v>
      </c>
    </row>
    <row r="430" spans="1:37" x14ac:dyDescent="0.25">
      <c r="A430" s="163">
        <v>46198</v>
      </c>
      <c r="B430" s="163">
        <v>46198</v>
      </c>
      <c r="C430">
        <v>3</v>
      </c>
      <c r="D430" t="s">
        <v>86</v>
      </c>
      <c r="E430">
        <v>31781</v>
      </c>
      <c r="G430">
        <v>1</v>
      </c>
      <c r="H430">
        <v>41419459</v>
      </c>
      <c r="I430" t="s">
        <v>399</v>
      </c>
      <c r="J430">
        <v>0</v>
      </c>
      <c r="K430">
        <v>0</v>
      </c>
      <c r="L430">
        <v>0</v>
      </c>
      <c r="M430">
        <v>0</v>
      </c>
      <c r="N430">
        <v>0</v>
      </c>
      <c r="O430">
        <v>125</v>
      </c>
      <c r="P430">
        <v>0</v>
      </c>
      <c r="Q430">
        <v>0</v>
      </c>
      <c r="R430">
        <v>0</v>
      </c>
      <c r="S430">
        <v>0</v>
      </c>
      <c r="T430">
        <v>0</v>
      </c>
      <c r="U430">
        <v>0</v>
      </c>
      <c r="V430">
        <v>125</v>
      </c>
      <c r="W430" t="s">
        <v>492</v>
      </c>
      <c r="AK430" t="s">
        <v>861</v>
      </c>
    </row>
    <row r="431" spans="1:37" x14ac:dyDescent="0.25">
      <c r="A431" s="163">
        <v>46198</v>
      </c>
      <c r="B431" s="163">
        <v>46198</v>
      </c>
      <c r="C431">
        <v>3</v>
      </c>
      <c r="D431" t="s">
        <v>86</v>
      </c>
      <c r="E431">
        <v>31782</v>
      </c>
      <c r="G431">
        <v>1</v>
      </c>
      <c r="H431">
        <v>20108280</v>
      </c>
      <c r="I431" t="s">
        <v>400</v>
      </c>
      <c r="J431">
        <v>0</v>
      </c>
      <c r="K431">
        <v>0</v>
      </c>
      <c r="L431">
        <v>0</v>
      </c>
      <c r="M431">
        <v>0</v>
      </c>
      <c r="N431">
        <v>0</v>
      </c>
      <c r="O431">
        <v>25</v>
      </c>
      <c r="P431">
        <v>0</v>
      </c>
      <c r="Q431">
        <v>0</v>
      </c>
      <c r="R431">
        <v>0</v>
      </c>
      <c r="S431">
        <v>0</v>
      </c>
      <c r="T431">
        <v>0</v>
      </c>
      <c r="U431">
        <v>0</v>
      </c>
      <c r="V431">
        <v>25</v>
      </c>
      <c r="W431" t="s">
        <v>492</v>
      </c>
      <c r="AK431" t="s">
        <v>862</v>
      </c>
    </row>
    <row r="432" spans="1:37" x14ac:dyDescent="0.25">
      <c r="A432" s="163">
        <v>46198</v>
      </c>
      <c r="B432" s="163">
        <v>46198</v>
      </c>
      <c r="C432">
        <v>3</v>
      </c>
      <c r="D432" t="s">
        <v>86</v>
      </c>
      <c r="E432">
        <v>31783</v>
      </c>
      <c r="G432">
        <v>1</v>
      </c>
      <c r="H432">
        <v>19989104</v>
      </c>
      <c r="I432" t="s">
        <v>401</v>
      </c>
      <c r="J432">
        <v>0</v>
      </c>
      <c r="K432">
        <v>0</v>
      </c>
      <c r="L432">
        <v>0</v>
      </c>
      <c r="M432">
        <v>0</v>
      </c>
      <c r="N432">
        <v>0</v>
      </c>
      <c r="O432">
        <v>12.5</v>
      </c>
      <c r="P432">
        <v>0</v>
      </c>
      <c r="Q432">
        <v>0</v>
      </c>
      <c r="R432">
        <v>0</v>
      </c>
      <c r="S432">
        <v>0</v>
      </c>
      <c r="T432">
        <v>0</v>
      </c>
      <c r="U432">
        <v>0</v>
      </c>
      <c r="V432">
        <v>12.5</v>
      </c>
      <c r="W432" t="s">
        <v>492</v>
      </c>
      <c r="AK432" t="s">
        <v>863</v>
      </c>
    </row>
    <row r="433" spans="1:37" x14ac:dyDescent="0.25">
      <c r="A433" s="163">
        <v>46198</v>
      </c>
      <c r="B433" s="163">
        <v>46198</v>
      </c>
      <c r="C433">
        <v>3</v>
      </c>
      <c r="D433" t="s">
        <v>86</v>
      </c>
      <c r="E433">
        <v>31784</v>
      </c>
      <c r="G433">
        <v>1</v>
      </c>
      <c r="H433">
        <v>44362091</v>
      </c>
      <c r="I433" t="s">
        <v>402</v>
      </c>
      <c r="J433">
        <v>0</v>
      </c>
      <c r="K433">
        <v>0</v>
      </c>
      <c r="L433">
        <v>0</v>
      </c>
      <c r="M433">
        <v>0</v>
      </c>
      <c r="N433">
        <v>0</v>
      </c>
      <c r="O433">
        <v>12.5</v>
      </c>
      <c r="P433">
        <v>0</v>
      </c>
      <c r="Q433">
        <v>0</v>
      </c>
      <c r="R433">
        <v>0</v>
      </c>
      <c r="S433">
        <v>0</v>
      </c>
      <c r="T433">
        <v>0</v>
      </c>
      <c r="U433">
        <v>0</v>
      </c>
      <c r="V433">
        <v>12.5</v>
      </c>
      <c r="W433" t="s">
        <v>492</v>
      </c>
      <c r="AK433" t="s">
        <v>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FORMATO_VENTAS</vt:lpstr>
      <vt:lpstr>FORMATO_ COMPRAS </vt:lpstr>
      <vt:lpstr>Hoja3</vt:lpstr>
      <vt:lpstr>FORMATO_VENTAS!Área_de_impresión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dc:creator>
  <cp:lastModifiedBy>USUARIO</cp:lastModifiedBy>
  <cp:lastPrinted>2018-01-10T17:36:51Z</cp:lastPrinted>
  <dcterms:created xsi:type="dcterms:W3CDTF">2017-02-16T15:33:09Z</dcterms:created>
  <dcterms:modified xsi:type="dcterms:W3CDTF">2026-07-09T22:01:39Z</dcterms:modified>
</cp:coreProperties>
</file>